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vid\Desktop\0_P_finalModelos\"/>
    </mc:Choice>
  </mc:AlternateContent>
  <xr:revisionPtr revIDLastSave="0" documentId="13_ncr:1_{C5295A93-C19D-4E39-996A-2C23FBF28672}" xr6:coauthVersionLast="47" xr6:coauthVersionMax="47" xr10:uidLastSave="{00000000-0000-0000-0000-000000000000}"/>
  <bookViews>
    <workbookView xWindow="-96" yWindow="-96" windowWidth="23232" windowHeight="12432" tabRatio="500" xr2:uid="{00000000-000D-0000-FFFF-FFFF00000000}"/>
  </bookViews>
  <sheets>
    <sheet name="Portada" sheetId="1" r:id="rId1"/>
    <sheet name="Supuestos" sheetId="2" r:id="rId2"/>
    <sheet name="Originación" sheetId="3" r:id="rId3"/>
    <sheet name="Cartera" sheetId="4" r:id="rId4"/>
    <sheet name="ER" sheetId="5" r:id="rId5"/>
    <sheet name="Balance" sheetId="6" r:id="rId6"/>
    <sheet name="Flujo" sheetId="7" r:id="rId7"/>
    <sheet name="Cash Flows" sheetId="8" r:id="rId8"/>
    <sheet name="Indicadores" sheetId="9" r:id="rId9"/>
    <sheet name="Sensibilidad" sheetId="10" r:id="rId10"/>
    <sheet name="Validaciones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2" i="2" l="1"/>
  <c r="H19" i="10"/>
  <c r="D19" i="10"/>
  <c r="H7" i="10"/>
  <c r="C34" i="9"/>
  <c r="C29" i="9"/>
  <c r="C28" i="9"/>
  <c r="E19" i="9"/>
  <c r="D19" i="9"/>
  <c r="C19" i="9"/>
  <c r="F31" i="8"/>
  <c r="E31" i="8"/>
  <c r="D31" i="8"/>
  <c r="C31" i="8"/>
  <c r="C24" i="8"/>
  <c r="C9" i="8"/>
  <c r="C11" i="8" s="1"/>
  <c r="C15" i="8" s="1"/>
  <c r="C18" i="7"/>
  <c r="E14" i="7"/>
  <c r="D14" i="7"/>
  <c r="C14" i="7"/>
  <c r="E9" i="7"/>
  <c r="C9" i="7"/>
  <c r="E19" i="6"/>
  <c r="D19" i="6"/>
  <c r="C19" i="6"/>
  <c r="E9" i="6"/>
  <c r="D9" i="6"/>
  <c r="D9" i="7" s="1"/>
  <c r="C22" i="5"/>
  <c r="D7" i="4"/>
  <c r="D8" i="4" s="1"/>
  <c r="D36" i="3"/>
  <c r="E30" i="3"/>
  <c r="G29" i="3"/>
  <c r="F29" i="3"/>
  <c r="E29" i="3"/>
  <c r="D29" i="3"/>
  <c r="D27" i="3"/>
  <c r="D20" i="3"/>
  <c r="D21" i="3" s="1"/>
  <c r="D19" i="3"/>
  <c r="D18" i="3"/>
  <c r="D13" i="3"/>
  <c r="D12" i="3"/>
  <c r="D11" i="3"/>
  <c r="D14" i="3" s="1"/>
  <c r="F6" i="3"/>
  <c r="E6" i="3"/>
  <c r="D6" i="3"/>
  <c r="D5" i="3"/>
  <c r="D131" i="2"/>
  <c r="D109" i="2"/>
  <c r="C7" i="11" s="1"/>
  <c r="F7" i="11" s="1"/>
  <c r="D101" i="2"/>
  <c r="C23" i="5" s="1"/>
  <c r="D99" i="2"/>
  <c r="D100" i="2" s="1"/>
  <c r="D98" i="2"/>
  <c r="D92" i="2"/>
  <c r="E21" i="5" s="1"/>
  <c r="F80" i="2"/>
  <c r="E80" i="2"/>
  <c r="D80" i="2"/>
  <c r="F79" i="2"/>
  <c r="E79" i="2"/>
  <c r="D79" i="2"/>
  <c r="F78" i="2"/>
  <c r="E78" i="2"/>
  <c r="D78" i="2"/>
  <c r="F77" i="2"/>
  <c r="E77" i="2"/>
  <c r="D77" i="2"/>
  <c r="D81" i="2" s="1"/>
  <c r="C20" i="5" s="1"/>
  <c r="F76" i="2"/>
  <c r="F81" i="2" s="1"/>
  <c r="E20" i="5" s="1"/>
  <c r="E76" i="2"/>
  <c r="D76" i="2"/>
  <c r="F75" i="2"/>
  <c r="E75" i="2"/>
  <c r="D75" i="2"/>
  <c r="F74" i="2"/>
  <c r="E74" i="2"/>
  <c r="E81" i="2" s="1"/>
  <c r="D20" i="5" s="1"/>
  <c r="D74" i="2"/>
  <c r="F70" i="2"/>
  <c r="E70" i="2"/>
  <c r="D70" i="2"/>
  <c r="D35" i="2"/>
  <c r="D7" i="10" s="1"/>
  <c r="D29" i="2"/>
  <c r="D23" i="2"/>
  <c r="C6" i="11" s="1"/>
  <c r="F6" i="11" s="1"/>
  <c r="D15" i="2"/>
  <c r="D13" i="2"/>
  <c r="D30" i="3" s="1"/>
  <c r="D7" i="2"/>
  <c r="D110" i="2" l="1"/>
  <c r="D113" i="2" s="1"/>
  <c r="D37" i="2"/>
  <c r="E29" i="9"/>
  <c r="D10" i="4"/>
  <c r="D9" i="4"/>
  <c r="C18" i="8"/>
  <c r="C21" i="8"/>
  <c r="C25" i="8" s="1"/>
  <c r="C27" i="8" s="1"/>
  <c r="D102" i="2"/>
  <c r="D23" i="5" s="1"/>
  <c r="E13" i="3"/>
  <c r="E20" i="3"/>
  <c r="F30" i="3"/>
  <c r="D22" i="5"/>
  <c r="D24" i="5" s="1"/>
  <c r="D28" i="9"/>
  <c r="D7" i="3"/>
  <c r="G30" i="3"/>
  <c r="D29" i="9"/>
  <c r="D14" i="2"/>
  <c r="E5" i="3"/>
  <c r="E7" i="3" s="1"/>
  <c r="D7" i="5" s="1"/>
  <c r="C21" i="5"/>
  <c r="C24" i="5" s="1"/>
  <c r="D16" i="2"/>
  <c r="E12" i="3"/>
  <c r="E19" i="3"/>
  <c r="D21" i="5"/>
  <c r="E11" i="3"/>
  <c r="E18" i="3"/>
  <c r="D11" i="4" l="1"/>
  <c r="C14" i="6" s="1"/>
  <c r="D8" i="7"/>
  <c r="D15" i="6"/>
  <c r="C8" i="7"/>
  <c r="C15" i="6"/>
  <c r="C7" i="6"/>
  <c r="F19" i="3"/>
  <c r="F12" i="3"/>
  <c r="D17" i="2"/>
  <c r="F18" i="3"/>
  <c r="F5" i="3"/>
  <c r="F11" i="3"/>
  <c r="G31" i="3"/>
  <c r="F31" i="3"/>
  <c r="E31" i="3"/>
  <c r="E28" i="9"/>
  <c r="E22" i="5"/>
  <c r="E24" i="5" s="1"/>
  <c r="F20" i="3"/>
  <c r="F13" i="3"/>
  <c r="D31" i="3"/>
  <c r="C7" i="5"/>
  <c r="E36" i="3"/>
  <c r="E7" i="4"/>
  <c r="C32" i="8"/>
  <c r="E21" i="3"/>
  <c r="D103" i="2"/>
  <c r="E23" i="5" s="1"/>
  <c r="E14" i="3"/>
  <c r="D13" i="4" l="1"/>
  <c r="D19" i="4"/>
  <c r="D17" i="4"/>
  <c r="D18" i="4"/>
  <c r="D31" i="4" s="1"/>
  <c r="C27" i="9"/>
  <c r="E6" i="4"/>
  <c r="F14" i="3"/>
  <c r="F21" i="3"/>
  <c r="D24" i="4"/>
  <c r="C10" i="11"/>
  <c r="D30" i="4"/>
  <c r="D20" i="4"/>
  <c r="F7" i="3"/>
  <c r="G5" i="3"/>
  <c r="C17" i="7"/>
  <c r="C19" i="7" s="1"/>
  <c r="C16" i="6"/>
  <c r="D20" i="8"/>
  <c r="E9" i="4"/>
  <c r="E10" i="4"/>
  <c r="E8" i="4"/>
  <c r="E11" i="4" s="1"/>
  <c r="F36" i="3"/>
  <c r="F7" i="4"/>
  <c r="E15" i="6"/>
  <c r="E8" i="7"/>
  <c r="C11" i="5"/>
  <c r="C12" i="5" s="1"/>
  <c r="C6" i="5"/>
  <c r="D32" i="4"/>
  <c r="D25" i="4"/>
  <c r="F6" i="4" l="1"/>
  <c r="D27" i="9"/>
  <c r="E18" i="4"/>
  <c r="E31" i="4" s="1"/>
  <c r="E17" i="4"/>
  <c r="D22" i="9"/>
  <c r="D7" i="6"/>
  <c r="E19" i="4"/>
  <c r="D14" i="6"/>
  <c r="E13" i="4"/>
  <c r="C11" i="11"/>
  <c r="D26" i="4"/>
  <c r="D38" i="4"/>
  <c r="D39" i="4"/>
  <c r="C17" i="9" s="1"/>
  <c r="E7" i="5"/>
  <c r="G7" i="3"/>
  <c r="C8" i="5"/>
  <c r="C8" i="9"/>
  <c r="D19" i="8"/>
  <c r="D8" i="8"/>
  <c r="D33" i="4"/>
  <c r="D11" i="5" l="1"/>
  <c r="D12" i="5" s="1"/>
  <c r="D6" i="5"/>
  <c r="C8" i="6"/>
  <c r="D40" i="4"/>
  <c r="D35" i="4"/>
  <c r="D37" i="4"/>
  <c r="E24" i="4"/>
  <c r="D10" i="11"/>
  <c r="E30" i="4"/>
  <c r="E20" i="4"/>
  <c r="C14" i="5"/>
  <c r="C35" i="5"/>
  <c r="E32" i="4"/>
  <c r="E25" i="4"/>
  <c r="D17" i="7"/>
  <c r="D19" i="7" s="1"/>
  <c r="D16" i="6"/>
  <c r="E20" i="8"/>
  <c r="C16" i="9"/>
  <c r="C15" i="11"/>
  <c r="F10" i="4"/>
  <c r="F9" i="4"/>
  <c r="F8" i="4"/>
  <c r="F11" i="4" s="1"/>
  <c r="E33" i="4" l="1"/>
  <c r="D8" i="6" s="1"/>
  <c r="E27" i="9"/>
  <c r="F18" i="4"/>
  <c r="F31" i="4" s="1"/>
  <c r="F17" i="4"/>
  <c r="E22" i="9"/>
  <c r="E14" i="6"/>
  <c r="E7" i="6"/>
  <c r="F19" i="4"/>
  <c r="C36" i="5"/>
  <c r="C9" i="9"/>
  <c r="F13" i="4"/>
  <c r="D12" i="8"/>
  <c r="C16" i="5"/>
  <c r="C17" i="5" s="1"/>
  <c r="C26" i="5" s="1"/>
  <c r="D11" i="11"/>
  <c r="E26" i="4"/>
  <c r="E38" i="4"/>
  <c r="E39" i="4"/>
  <c r="D17" i="9" s="1"/>
  <c r="D8" i="9"/>
  <c r="D8" i="5"/>
  <c r="C7" i="7"/>
  <c r="C6" i="6"/>
  <c r="D13" i="8"/>
  <c r="C18" i="9"/>
  <c r="C16" i="11"/>
  <c r="E8" i="8"/>
  <c r="E19" i="8"/>
  <c r="E35" i="4" l="1"/>
  <c r="D16" i="5" s="1"/>
  <c r="E37" i="4"/>
  <c r="D7" i="7" s="1"/>
  <c r="E40" i="4"/>
  <c r="D18" i="9" s="1"/>
  <c r="D16" i="9"/>
  <c r="D15" i="11"/>
  <c r="D7" i="8"/>
  <c r="D9" i="8" s="1"/>
  <c r="C28" i="5"/>
  <c r="C29" i="5" s="1"/>
  <c r="E16" i="6"/>
  <c r="F20" i="8"/>
  <c r="E17" i="7"/>
  <c r="E19" i="7" s="1"/>
  <c r="F24" i="4"/>
  <c r="E10" i="11"/>
  <c r="F10" i="11" s="1"/>
  <c r="F30" i="4"/>
  <c r="F20" i="4"/>
  <c r="F32" i="4"/>
  <c r="F25" i="4"/>
  <c r="E11" i="5"/>
  <c r="E12" i="5" s="1"/>
  <c r="E6" i="5"/>
  <c r="D14" i="5"/>
  <c r="D35" i="5"/>
  <c r="E12" i="8" l="1"/>
  <c r="D6" i="6"/>
  <c r="F33" i="4"/>
  <c r="E8" i="6" s="1"/>
  <c r="D16" i="11"/>
  <c r="E13" i="8"/>
  <c r="C30" i="5"/>
  <c r="C32" i="5" s="1"/>
  <c r="E11" i="11"/>
  <c r="F11" i="11" s="1"/>
  <c r="F26" i="4"/>
  <c r="F8" i="8"/>
  <c r="F19" i="8"/>
  <c r="E8" i="9"/>
  <c r="E8" i="5"/>
  <c r="F38" i="4"/>
  <c r="F39" i="4"/>
  <c r="E17" i="9" s="1"/>
  <c r="D36" i="5"/>
  <c r="D17" i="5"/>
  <c r="D26" i="5" s="1"/>
  <c r="D9" i="9"/>
  <c r="D10" i="8"/>
  <c r="D11" i="8" s="1"/>
  <c r="D15" i="8" s="1"/>
  <c r="F35" i="4" l="1"/>
  <c r="F12" i="8" s="1"/>
  <c r="F40" i="4"/>
  <c r="E18" i="9" s="1"/>
  <c r="F37" i="4"/>
  <c r="E6" i="6" s="1"/>
  <c r="C37" i="5"/>
  <c r="C23" i="9"/>
  <c r="C13" i="11"/>
  <c r="C6" i="7"/>
  <c r="C10" i="7" s="1"/>
  <c r="C21" i="7" s="1"/>
  <c r="C24" i="7" s="1"/>
  <c r="C21" i="6"/>
  <c r="C22" i="6" s="1"/>
  <c r="D20" i="6"/>
  <c r="D18" i="8"/>
  <c r="D21" i="8"/>
  <c r="D25" i="8" s="1"/>
  <c r="D27" i="8" s="1"/>
  <c r="E7" i="8"/>
  <c r="E9" i="8" s="1"/>
  <c r="D28" i="5"/>
  <c r="D29" i="5" s="1"/>
  <c r="E14" i="5"/>
  <c r="E35" i="5"/>
  <c r="E16" i="9"/>
  <c r="E15" i="11"/>
  <c r="F15" i="11" s="1"/>
  <c r="E16" i="11" l="1"/>
  <c r="F16" i="11" s="1"/>
  <c r="E16" i="5"/>
  <c r="E17" i="5" s="1"/>
  <c r="E26" i="5" s="1"/>
  <c r="F13" i="8"/>
  <c r="E7" i="7"/>
  <c r="D30" i="5"/>
  <c r="D32" i="5" s="1"/>
  <c r="E36" i="5"/>
  <c r="E9" i="9"/>
  <c r="C12" i="9"/>
  <c r="C12" i="11" s="1"/>
  <c r="C24" i="6"/>
  <c r="C10" i="6" s="1"/>
  <c r="E10" i="8"/>
  <c r="E11" i="8" s="1"/>
  <c r="E15" i="8" s="1"/>
  <c r="C6" i="9"/>
  <c r="D32" i="8"/>
  <c r="E21" i="8" l="1"/>
  <c r="E25" i="8" s="1"/>
  <c r="E27" i="8" s="1"/>
  <c r="E18" i="8"/>
  <c r="C14" i="11"/>
  <c r="D23" i="7"/>
  <c r="C11" i="6"/>
  <c r="C9" i="11"/>
  <c r="F7" i="8"/>
  <c r="F9" i="8" s="1"/>
  <c r="E28" i="5"/>
  <c r="E29" i="5" s="1"/>
  <c r="C25" i="7"/>
  <c r="D37" i="5"/>
  <c r="D6" i="7"/>
  <c r="D10" i="7" s="1"/>
  <c r="D21" i="7" s="1"/>
  <c r="D21" i="6"/>
  <c r="D22" i="6" s="1"/>
  <c r="D13" i="11"/>
  <c r="D23" i="9"/>
  <c r="E20" i="6"/>
  <c r="D24" i="7" l="1"/>
  <c r="E30" i="5"/>
  <c r="E32" i="5" s="1"/>
  <c r="F26" i="8" s="1"/>
  <c r="F10" i="8"/>
  <c r="F11" i="8" s="1"/>
  <c r="F15" i="8" s="1"/>
  <c r="C8" i="11"/>
  <c r="C26" i="6"/>
  <c r="C13" i="9"/>
  <c r="C7" i="9"/>
  <c r="E32" i="8"/>
  <c r="D12" i="9"/>
  <c r="D12" i="11" s="1"/>
  <c r="D24" i="6"/>
  <c r="D10" i="6" s="1"/>
  <c r="D6" i="9"/>
  <c r="D9" i="11" l="1"/>
  <c r="C26" i="10"/>
  <c r="F23" i="10"/>
  <c r="D25" i="10"/>
  <c r="D38" i="8"/>
  <c r="D39" i="8" s="1"/>
  <c r="E24" i="10"/>
  <c r="G25" i="10"/>
  <c r="E23" i="10"/>
  <c r="F25" i="10"/>
  <c r="D23" i="10"/>
  <c r="G22" i="10"/>
  <c r="G26" i="10"/>
  <c r="E25" i="10"/>
  <c r="C23" i="10"/>
  <c r="E37" i="5"/>
  <c r="E13" i="11"/>
  <c r="F13" i="11" s="1"/>
  <c r="C25" i="10"/>
  <c r="F22" i="10"/>
  <c r="E6" i="7"/>
  <c r="E10" i="7" s="1"/>
  <c r="E21" i="7" s="1"/>
  <c r="E21" i="6"/>
  <c r="E22" i="6" s="1"/>
  <c r="E6" i="9" s="1"/>
  <c r="C22" i="10"/>
  <c r="G24" i="10"/>
  <c r="E22" i="10"/>
  <c r="F24" i="10"/>
  <c r="D22" i="10"/>
  <c r="F26" i="10"/>
  <c r="D24" i="10"/>
  <c r="E26" i="10"/>
  <c r="C24" i="10"/>
  <c r="D26" i="10"/>
  <c r="G23" i="10"/>
  <c r="E23" i="9"/>
  <c r="C24" i="9" s="1"/>
  <c r="F18" i="8"/>
  <c r="F21" i="8"/>
  <c r="F25" i="8" s="1"/>
  <c r="D14" i="11"/>
  <c r="E23" i="7"/>
  <c r="D11" i="6"/>
  <c r="D25" i="7"/>
  <c r="D8" i="11" l="1"/>
  <c r="D26" i="6"/>
  <c r="D13" i="9"/>
  <c r="D7" i="9"/>
  <c r="E24" i="7"/>
  <c r="E12" i="9"/>
  <c r="E12" i="11" s="1"/>
  <c r="F12" i="11" s="1"/>
  <c r="E24" i="6"/>
  <c r="E10" i="6" s="1"/>
  <c r="D37" i="8" l="1"/>
  <c r="C35" i="9" s="1"/>
  <c r="E14" i="11"/>
  <c r="F14" i="11" s="1"/>
  <c r="E11" i="6"/>
  <c r="E9" i="11"/>
  <c r="F9" i="11" s="1"/>
  <c r="E25" i="7"/>
  <c r="F27" i="8"/>
  <c r="D36" i="8" s="1"/>
  <c r="E8" i="11" l="1"/>
  <c r="F8" i="11" s="1"/>
  <c r="E26" i="6"/>
  <c r="E13" i="9"/>
  <c r="E7" i="9"/>
  <c r="F32" i="8"/>
  <c r="G32" i="8" s="1"/>
  <c r="D35" i="8" s="1"/>
  <c r="C17" i="11" l="1"/>
  <c r="F17" i="11" s="1"/>
  <c r="C32" i="9"/>
  <c r="F14" i="10"/>
  <c r="D12" i="10"/>
  <c r="G13" i="10"/>
  <c r="E11" i="10"/>
  <c r="E14" i="10"/>
  <c r="C12" i="10"/>
  <c r="D14" i="10"/>
  <c r="G11" i="10"/>
  <c r="F10" i="10"/>
  <c r="C14" i="10"/>
  <c r="F11" i="10"/>
  <c r="F13" i="10"/>
  <c r="D11" i="10"/>
  <c r="E13" i="10"/>
  <c r="C11" i="10"/>
  <c r="D13" i="10"/>
  <c r="G10" i="10"/>
  <c r="C13" i="10"/>
  <c r="G12" i="10"/>
  <c r="E10" i="10"/>
  <c r="F12" i="10"/>
  <c r="D10" i="10"/>
  <c r="G14" i="10"/>
  <c r="E12" i="10"/>
  <c r="C10" i="10"/>
  <c r="C18" i="11"/>
  <c r="F18" i="11" s="1"/>
  <c r="D23" i="11" s="1"/>
  <c r="C33" i="9"/>
  <c r="D22" i="11" l="1"/>
</calcChain>
</file>

<file path=xl/sharedStrings.xml><?xml version="1.0" encoding="utf-8"?>
<sst xmlns="http://schemas.openxmlformats.org/spreadsheetml/2006/main" count="496" uniqueCount="449">
  <si>
    <t>Crédito Remesa Jalisco</t>
  </si>
  <si>
    <t>Proyecciones Financieras 3 Años · SOFOM ENR</t>
  </si>
  <si>
    <t>Crédito de mejoramiento de vivienda con cobro domiciliado sobre flujo de remesas</t>
  </si>
  <si>
    <t>Información del proyecto</t>
  </si>
  <si>
    <t>Materia</t>
  </si>
  <si>
    <t>Modelos de Crédito</t>
  </si>
  <si>
    <t>Institución</t>
  </si>
  <si>
    <t>Equipo</t>
  </si>
  <si>
    <t>David Campos · Jose Melchor · Rolando Fortanell</t>
  </si>
  <si>
    <t>Horizonte</t>
  </si>
  <si>
    <t>Estructura legal</t>
  </si>
  <si>
    <t>SOFOM ENR (Entidad No Regulada)</t>
  </si>
  <si>
    <t>Mercado objetivo</t>
  </si>
  <si>
    <t>Hogares receptores de remesas en Jalisco sin historial formal de crédito</t>
  </si>
  <si>
    <t>Modelo operativo</t>
  </si>
  <si>
    <t>Portada</t>
  </si>
  <si>
    <t>Información general del proyecto</t>
  </si>
  <si>
    <t>Supuestos</t>
  </si>
  <si>
    <t>Originación</t>
  </si>
  <si>
    <t>Cartera</t>
  </si>
  <si>
    <t>Evolución cartera: vigente, vencida, castigos, mezcla por etapa IFRS 9</t>
  </si>
  <si>
    <t>Ingresos por intereses, gasto fondeo, EPRC, gastos operativos, ISR, utilidad neta</t>
  </si>
  <si>
    <t>Balance</t>
  </si>
  <si>
    <t>Activos, pasivos y capital al cierre de cada año</t>
  </si>
  <si>
    <t>Flujo</t>
  </si>
  <si>
    <t>Flujo de efectivo: operación + inversión + financiamiento</t>
  </si>
  <si>
    <t>Indicadores</t>
  </si>
  <si>
    <t>ROE, ROA, NIM, ICAP, IMOR, IMORA, eficiencia, cobertura, payback</t>
  </si>
  <si>
    <t>Sensibilidad</t>
  </si>
  <si>
    <t>Tablas bivariadas sobre supuestos clave</t>
  </si>
  <si>
    <t>Validaciones</t>
  </si>
  <si>
    <t>●  Azul</t>
  </si>
  <si>
    <t>●  Negro</t>
  </si>
  <si>
    <t>●  Verde</t>
  </si>
  <si>
    <t>Referencia a otra hoja del mismo libro</t>
  </si>
  <si>
    <t>●  Rojo + fondo amarillo</t>
  </si>
  <si>
    <t>SUPUESTOS DEL MODELO — todos los inputs editables están en azul</t>
  </si>
  <si>
    <t>A. Parámetros del producto</t>
  </si>
  <si>
    <t xml:space="preserve">  Monto promedio del crédito (MXN)</t>
  </si>
  <si>
    <t>Punto medio rango $50k-$500k. &gt;$156,445 Mejoravit Renueva (Infonavit 2025).</t>
  </si>
  <si>
    <t xml:space="preserve">  Plazo promedio del crédito (meses)</t>
  </si>
  <si>
    <t>8 años = mediana antigüedad remesas padrón. SOFOM vivienda 7-10 años (Banxico RIB 2025).</t>
  </si>
  <si>
    <t xml:space="preserve">  Plazo promedio del crédito (años)</t>
  </si>
  <si>
    <t>B. Volumen de originación</t>
  </si>
  <si>
    <t xml:space="preserve">  Créditos originados Año 1</t>
  </si>
  <si>
    <t xml:space="preserve">  Crecimiento Año 2 vs Año 1</t>
  </si>
  <si>
    <t>Expansión controlada SOFOMES vivienda (HR Ratings 2026).</t>
  </si>
  <si>
    <t xml:space="preserve">  Crecimiento Año 3 vs Año 2</t>
  </si>
  <si>
    <t xml:space="preserve">  Créditos originados Año 2</t>
  </si>
  <si>
    <t xml:space="preserve">  Créditos originados Año 3</t>
  </si>
  <si>
    <t xml:space="preserve">  Monto colocado Año 1 (MXN)</t>
  </si>
  <si>
    <t xml:space="preserve">  Monto colocado Año 2 (MXN)</t>
  </si>
  <si>
    <t xml:space="preserve">  Monto colocado Año 3 (MXN)</t>
  </si>
  <si>
    <t>C. Mezcla del portafolio por bucket de riesgo</t>
  </si>
  <si>
    <t xml:space="preserve">  Suma mezcla (debe = 100%)</t>
  </si>
  <si>
    <t>D. Tasa cobrada al cliente por bucket</t>
  </si>
  <si>
    <t xml:space="preserve">  Tasa anual Bajo Riesgo</t>
  </si>
  <si>
    <t xml:space="preserve">  Tasa anual Riesgo Medio</t>
  </si>
  <si>
    <t xml:space="preserve">  Tasa anual Alto Riesgo</t>
  </si>
  <si>
    <t xml:space="preserve">  Tasa promedio ponderada del portafolio</t>
  </si>
  <si>
    <t>E. Riesgo crediticio (modelo de scoring)</t>
  </si>
  <si>
    <t xml:space="preserve">  PD anual Bajo Riesgo</t>
  </si>
  <si>
    <t xml:space="preserve">  PD anual Riesgo Medio</t>
  </si>
  <si>
    <t xml:space="preserve">  PD anual Alto Riesgo</t>
  </si>
  <si>
    <t xml:space="preserve">  PD ponderada del portafolio</t>
  </si>
  <si>
    <t xml:space="preserve">  LGD del producto (severidad de pérdida)</t>
  </si>
  <si>
    <t>Punto medio: hipotecario 14.5% (Moody's BBVA) vs consumo 83.9%.</t>
  </si>
  <si>
    <t xml:space="preserve">  Pérdida esperada anual ponderada (PD × LGD)</t>
  </si>
  <si>
    <t>F. Costo de fondeo (pasivo de la SOFOM)</t>
  </si>
  <si>
    <t xml:space="preserve">  Tasa libre de riesgo (TIIE 28)</t>
  </si>
  <si>
    <t xml:space="preserve">  Spread de fondeo SOFOM ENR sobre TIIE</t>
  </si>
  <si>
    <t xml:space="preserve">  Costo de fondeo total (TIIE + spread)</t>
  </si>
  <si>
    <t xml:space="preserve">  Apalancamiento objetivo (Pasivo / Activo)</t>
  </si>
  <si>
    <t>G. Capital y regulación</t>
  </si>
  <si>
    <t xml:space="preserve">  Capital inicial (equity, MXN)</t>
  </si>
  <si>
    <t xml:space="preserve">  Capital regulatorio mínimo (Basilea III)</t>
  </si>
  <si>
    <t xml:space="preserve">  Ponderación riesgo del activo</t>
  </si>
  <si>
    <t xml:space="preserve">  ROE objetivo</t>
  </si>
  <si>
    <t>H. Plantilla — sueldos brutos mensuales (MXN)</t>
  </si>
  <si>
    <t xml:space="preserve">  Sueldo Director General</t>
  </si>
  <si>
    <t>INEGI ENOE T1-2025: pico Sinaloa $33.2k; ajustado por nivel directivo.</t>
  </si>
  <si>
    <t xml:space="preserve">  Sueldo Director de Riesgos</t>
  </si>
  <si>
    <t xml:space="preserve">  Sueldo Director Operaciones/Tech</t>
  </si>
  <si>
    <t xml:space="preserve">  Sueldo Analista de Crédito</t>
  </si>
  <si>
    <t xml:space="preserve">  Sueldo Ejecutivo Cobranza</t>
  </si>
  <si>
    <t xml:space="preserve">  Sueldo Cumplimiento PLD/FT</t>
  </si>
  <si>
    <t xml:space="preserve">  Sueldo Contador/Admin</t>
  </si>
  <si>
    <t xml:space="preserve">  Factor carga social (prestaciones + IMSS + ISN)</t>
  </si>
  <si>
    <t>IMSS + prima vac + aguinaldo + AFORE + ISN ≈ 33-37%.</t>
  </si>
  <si>
    <t xml:space="preserve">    Plantilla — personas por año</t>
  </si>
  <si>
    <t>Año 1</t>
  </si>
  <si>
    <t>Año 2</t>
  </si>
  <si>
    <t>Año 3</t>
  </si>
  <si>
    <t xml:space="preserve">    Director General</t>
  </si>
  <si>
    <t xml:space="preserve">    Director de Riesgos</t>
  </si>
  <si>
    <t xml:space="preserve">    Director Operaciones/Tech</t>
  </si>
  <si>
    <t xml:space="preserve">    Analistas de Crédito</t>
  </si>
  <si>
    <t xml:space="preserve">    Ejecutivos Cobranza</t>
  </si>
  <si>
    <t xml:space="preserve">    Cumplimiento PLD/FT</t>
  </si>
  <si>
    <t xml:space="preserve">    Contador/Admin</t>
  </si>
  <si>
    <t xml:space="preserve">    Total personas</t>
  </si>
  <si>
    <t xml:space="preserve">    Costo anual de plantilla (sueldo × 12 × factor social)</t>
  </si>
  <si>
    <t xml:space="preserve">    Costo DG</t>
  </si>
  <si>
    <t xml:space="preserve">    Costo DR</t>
  </si>
  <si>
    <t xml:space="preserve">    Costo DOP</t>
  </si>
  <si>
    <t xml:space="preserve">    Costo ANAL</t>
  </si>
  <si>
    <t xml:space="preserve">    Costo COB</t>
  </si>
  <si>
    <t xml:space="preserve">    Costo PLD</t>
  </si>
  <si>
    <t xml:space="preserve">    Costo CONT</t>
  </si>
  <si>
    <t xml:space="preserve">    Total costo plantilla anual</t>
  </si>
  <si>
    <t>I. Otros gastos operativos (mensuales MXN)</t>
  </si>
  <si>
    <t xml:space="preserve">  Coworking eventual (sin oficina física)</t>
  </si>
  <si>
    <t xml:space="preserve">  Plataforma core bancario (SaaS)</t>
  </si>
  <si>
    <t xml:space="preserve">  Costo por consulta a buró de crédito (MXN)</t>
  </si>
  <si>
    <t xml:space="preserve">  Consultas a buró por crédito originado</t>
  </si>
  <si>
    <t xml:space="preserve">  Gasto operativo fijo anual (excl. plantilla, marketing, buró)</t>
  </si>
  <si>
    <t>J. Costo de adquisición de cliente (CAC)</t>
  </si>
  <si>
    <t xml:space="preserve">  CAC como % del monto otorgado</t>
  </si>
  <si>
    <t xml:space="preserve">  Eficiencia CAC Año 2 vs Año 1</t>
  </si>
  <si>
    <t xml:space="preserve">  Eficiencia CAC Año 3 vs Año 2</t>
  </si>
  <si>
    <t xml:space="preserve">  CAC por crédito Año 1 (MXN)</t>
  </si>
  <si>
    <t xml:space="preserve">  CAC por crédito Año 2 (MXN)</t>
  </si>
  <si>
    <t xml:space="preserve">  CAC por crédito Año 3 (MXN)</t>
  </si>
  <si>
    <t xml:space="preserve">  Gasto CAC total Año 1</t>
  </si>
  <si>
    <t xml:space="preserve">  Gasto CAC total Año 2</t>
  </si>
  <si>
    <t xml:space="preserve">  Gasto CAC total Año 3</t>
  </si>
  <si>
    <t>K. Reservas preventivas IFRS 9 (CNBV B-6)</t>
  </si>
  <si>
    <t xml:space="preserve">  % Cartera Etapa 1 (al corriente)</t>
  </si>
  <si>
    <t xml:space="preserve">  % Cartera Etapa 2 (30-89 días)</t>
  </si>
  <si>
    <t xml:space="preserve">  % Cartera Etapa 3 (≥90 días, default)</t>
  </si>
  <si>
    <t xml:space="preserve">  Suma etapas (debe = 100%)</t>
  </si>
  <si>
    <t xml:space="preserve">  PE Etapa 1 (PD 12m × LGD)</t>
  </si>
  <si>
    <t xml:space="preserve">  PE Etapa 2 (lifetime sobre saldo)</t>
  </si>
  <si>
    <t xml:space="preserve">  PE Etapa 3 (= LGD)</t>
  </si>
  <si>
    <t xml:space="preserve">  Tasa de reserva ponderada sobre cartera</t>
  </si>
  <si>
    <t xml:space="preserve">  Tasa anual de castigo sobre cartera</t>
  </si>
  <si>
    <t>L. Dinámica de la cartera</t>
  </si>
  <si>
    <t xml:space="preserve">  Tasa anual de amortización de capital</t>
  </si>
  <si>
    <t xml:space="preserve">  Tasa anual de prepago voluntario</t>
  </si>
  <si>
    <t>M. Fiscal</t>
  </si>
  <si>
    <t xml:space="preserve">  Tasa ISR</t>
  </si>
  <si>
    <t xml:space="preserve">  Tasa PTU sobre base gravable</t>
  </si>
  <si>
    <t>N. Inflación</t>
  </si>
  <si>
    <t xml:space="preserve">  Inflación anual aplicada a gastos</t>
  </si>
  <si>
    <t>O. Valoración (descuento de flujos al accionista)</t>
  </si>
  <si>
    <t xml:space="preserve">  Costo de capital del accionista (Ke)</t>
  </si>
  <si>
    <t xml:space="preserve">  Tasa de crecimiento perpetuo (g)</t>
  </si>
  <si>
    <t>Inflación 4% + crecimiento real 2%. Conservador, &lt; Ke.</t>
  </si>
  <si>
    <t xml:space="preserve">  Prima sobre crecimiento (Ke - g, factor TV)</t>
  </si>
  <si>
    <t xml:space="preserve">  Múltiplo de salida sobre UN Año 3 (alternativa al TV perpetuo)</t>
  </si>
  <si>
    <t>Múltiplo P/E SOFOMES y bancos pequeños MX: 6-10x. Punto medio 8x.</t>
  </si>
  <si>
    <t>ORIGINACIÓN — créditos colocados por año y bucket</t>
  </si>
  <si>
    <t>Total 3Y</t>
  </si>
  <si>
    <t>Monto promedio por crédito (MXN)</t>
  </si>
  <si>
    <t>Monto total colocado (MXN)</t>
  </si>
  <si>
    <t>Originación por bucket de riesgo</t>
  </si>
  <si>
    <t xml:space="preserve">  Bajo Riesgo (≥ 700) — créditos</t>
  </si>
  <si>
    <t xml:space="preserve">  Riesgo Medio (500-700) — créditos</t>
  </si>
  <si>
    <t xml:space="preserve">  Alto Riesgo (&lt; 500) — créditos</t>
  </si>
  <si>
    <t>Monto colocado por bucket (MXN)</t>
  </si>
  <si>
    <t xml:space="preserve">  Bajo Riesgo (≥ 700) — monto</t>
  </si>
  <si>
    <t xml:space="preserve">  Riesgo Medio (500-700) — monto</t>
  </si>
  <si>
    <t xml:space="preserve">  Alto Riesgo (&lt; 500) — monto</t>
  </si>
  <si>
    <t xml:space="preserve">  Total monto colocado</t>
  </si>
  <si>
    <t>Originación trimestral (distribución uniforme con estacionalidad de remesas)</t>
  </si>
  <si>
    <t>Factor estacional</t>
  </si>
  <si>
    <t>Q1</t>
  </si>
  <si>
    <t>Q2</t>
  </si>
  <si>
    <t>Q3</t>
  </si>
  <si>
    <t>Q4</t>
  </si>
  <si>
    <t xml:space="preserve">  Factor de peso trimestral</t>
  </si>
  <si>
    <t xml:space="preserve">  Suma (check)</t>
  </si>
  <si>
    <t xml:space="preserve">  Año 1 — créditos trimestrales</t>
  </si>
  <si>
    <t xml:space="preserve">  Año 2 — créditos trimestrales</t>
  </si>
  <si>
    <t xml:space="preserve">  Año 3 — créditos trimestrales</t>
  </si>
  <si>
    <t>Saldo promedio sobre el año (originaciones distribuidas, factor 0.5)</t>
  </si>
  <si>
    <t xml:space="preserve">  Originación promedio ponderada</t>
  </si>
  <si>
    <t xml:space="preserve">  Monto promedio del año (50% colocación año en curso)</t>
  </si>
  <si>
    <t>CARTERA DE CRÉDITO — evolución anual</t>
  </si>
  <si>
    <t>Evolución del saldo de cartera bruta (roll-forward)</t>
  </si>
  <si>
    <t>Saldo inicial (cartera bruta)</t>
  </si>
  <si>
    <t xml:space="preserve">  (+) Originación del año</t>
  </si>
  <si>
    <t xml:space="preserve">  (-) Amortización de capital</t>
  </si>
  <si>
    <t xml:space="preserve">  (-) Prepago voluntario</t>
  </si>
  <si>
    <t>Saldo final (cartera bruta)</t>
  </si>
  <si>
    <t>Saldo promedio del año (intereses)</t>
  </si>
  <si>
    <t>Clasificación IFRS 9 sobre saldo final (etapas)</t>
  </si>
  <si>
    <t xml:space="preserve">  Cartera Etapa 1 (al corriente)</t>
  </si>
  <si>
    <t xml:space="preserve">  Total (check vs saldo final)</t>
  </si>
  <si>
    <t>Cartera vigente vs vencida (criterio contable)</t>
  </si>
  <si>
    <t xml:space="preserve">  Cartera vigente (Etapa 1 + Etapa 2)</t>
  </si>
  <si>
    <t xml:space="preserve">  Cartera vencida (Etapa 3)</t>
  </si>
  <si>
    <t xml:space="preserve">  Total cartera bruta</t>
  </si>
  <si>
    <t>Estimación preventiva para riesgos crediticios (EPRC) — IFRS 9</t>
  </si>
  <si>
    <t xml:space="preserve">  Reserva Etapa 1 (PD 12m × LGD)</t>
  </si>
  <si>
    <t xml:space="preserve">  Reserva Etapa 2 (PE lifetime)</t>
  </si>
  <si>
    <t xml:space="preserve">  Reserva Etapa 3 (= LGD)</t>
  </si>
  <si>
    <t xml:space="preserve">  Total reservas (saldo de balance)</t>
  </si>
  <si>
    <t>Generación de reservas del año (gasto P&amp;G)</t>
  </si>
  <si>
    <t>Cartera neta (bruta - reservas)</t>
  </si>
  <si>
    <t>IMOR (cartera vencida / cartera total)</t>
  </si>
  <si>
    <t>IMORA (cartera vencida + castigos 12m / cartera total)</t>
  </si>
  <si>
    <t>Índice de cobertura (reservas / cartera vencida)</t>
  </si>
  <si>
    <t>ESTADO DE RESULTADOS (anualizado, MXN)</t>
  </si>
  <si>
    <t>Ingresos financieros</t>
  </si>
  <si>
    <t xml:space="preserve">  Ingresos por intereses (Tasa pond × Saldo prom)</t>
  </si>
  <si>
    <t xml:space="preserve">  Comisiones por apertura (1% monto colocado)</t>
  </si>
  <si>
    <t>Total ingresos financieros</t>
  </si>
  <si>
    <t>Gastos por intereses (costo de fondeo)</t>
  </si>
  <si>
    <t xml:space="preserve">  Pasivo financiero promedio del año</t>
  </si>
  <si>
    <t xml:space="preserve">  Gasto financiero (costo fondeo × pasivo promedio)</t>
  </si>
  <si>
    <t>Margen financiero (antes de EPRC)</t>
  </si>
  <si>
    <t>Estimación preventiva para riesgos crediticios (EPRC)</t>
  </si>
  <si>
    <t>Margen financiero después de EPRC</t>
  </si>
  <si>
    <t>Gastos de administración y operación</t>
  </si>
  <si>
    <t xml:space="preserve">  Sueldos, salarios y prestaciones</t>
  </si>
  <si>
    <t xml:space="preserve">  Gastos operativos fijos (renta, plataforma, otros)</t>
  </si>
  <si>
    <t xml:space="preserve">  Costos de consulta a buró (variable por originación)</t>
  </si>
  <si>
    <t xml:space="preserve">  Marketing y adquisición de clientes (CAC)</t>
  </si>
  <si>
    <t>Total gastos de administración</t>
  </si>
  <si>
    <t>Utilidad antes de impuestos (UAFIR)</t>
  </si>
  <si>
    <t>PTU (10% sobre utilidad gravable)</t>
  </si>
  <si>
    <t>Utilidad antes de ISR</t>
  </si>
  <si>
    <t>ISR (30%)</t>
  </si>
  <si>
    <t>UTILIDAD NETA</t>
  </si>
  <si>
    <t>Indicadores del periodo (referencia)</t>
  </si>
  <si>
    <t xml:space="preserve">  Tasa activa efectiva (ingresos / saldo promedio)</t>
  </si>
  <si>
    <t xml:space="preserve">  Margen financiero / ingresos</t>
  </si>
  <si>
    <t xml:space="preserve">  Margen neto / ingresos</t>
  </si>
  <si>
    <t>BALANCE GENERAL (al cierre del año, MXN)</t>
  </si>
  <si>
    <t>ACTIVO</t>
  </si>
  <si>
    <t xml:space="preserve">  Cartera de crédito neta</t>
  </si>
  <si>
    <t xml:space="preserve">    Cartera bruta</t>
  </si>
  <si>
    <t xml:space="preserve">    (-) Reservas preventivas</t>
  </si>
  <si>
    <t xml:space="preserve">  Mobiliario y equipo (neto)</t>
  </si>
  <si>
    <t xml:space="preserve">  Disponibilidades (efectivo, plug del balance)</t>
  </si>
  <si>
    <t>TOTAL ACTIVO</t>
  </si>
  <si>
    <t>PASIVO</t>
  </si>
  <si>
    <t xml:space="preserve">  Líneas de fondeo (SHF/NAFIN/cebures)</t>
  </si>
  <si>
    <t xml:space="preserve">  Cuentas por pagar y provisiones</t>
  </si>
  <si>
    <t>TOTAL PASIVO</t>
  </si>
  <si>
    <t>CAPITAL CONTABLE</t>
  </si>
  <si>
    <t xml:space="preserve">  Capital social</t>
  </si>
  <si>
    <t xml:space="preserve">  Resultados acumulados</t>
  </si>
  <si>
    <t xml:space="preserve">  Resultado del ejercicio</t>
  </si>
  <si>
    <t>TOTAL CAPITAL CONTABLE</t>
  </si>
  <si>
    <t>TOTAL PASIVO + CAPITAL</t>
  </si>
  <si>
    <t>Check: Activo - (Pasivo + Capital)</t>
  </si>
  <si>
    <t>FLUJO DE EFECTIVO (método indirecto, MXN)</t>
  </si>
  <si>
    <t>Actividades de operación</t>
  </si>
  <si>
    <t xml:space="preserve">  Utilidad neta</t>
  </si>
  <si>
    <t xml:space="preserve">  (+/-) Variación neta en cartera de crédito (neta de reservas)</t>
  </si>
  <si>
    <t xml:space="preserve">  (+/-) Variación en cuentas por pagar y provisiones</t>
  </si>
  <si>
    <t xml:space="preserve">  (+) Depreciación implícita mobiliario</t>
  </si>
  <si>
    <t xml:space="preserve">  Flujo neto de operación</t>
  </si>
  <si>
    <t>Actividades de inversión</t>
  </si>
  <si>
    <t xml:space="preserve">  Inversión en mobiliario y equipo</t>
  </si>
  <si>
    <t xml:space="preserve">  Flujo neto de inversión</t>
  </si>
  <si>
    <t>Actividades de financiamiento</t>
  </si>
  <si>
    <t xml:space="preserve">  Variación en líneas de fondeo (pasivo financiero)</t>
  </si>
  <si>
    <t xml:space="preserve">  Aportaciones de capital (capital inicial)</t>
  </si>
  <si>
    <t xml:space="preserve">  Flujo neto de financiamiento</t>
  </si>
  <si>
    <t>Variación neta de efectivo</t>
  </si>
  <si>
    <t>Efectivo al inicio del año</t>
  </si>
  <si>
    <t>Efectivo al final del año</t>
  </si>
  <si>
    <t>Check: Efectivo final - Disponibilidades balance</t>
  </si>
  <si>
    <t>CASH FLOWS — FCFF, FCFE y valoración del proyecto (MXN)</t>
  </si>
  <si>
    <t>Año 0</t>
  </si>
  <si>
    <t>Total / VPN</t>
  </si>
  <si>
    <t xml:space="preserve">  Utilidad de operación (UAFIR antes de impuestos)</t>
  </si>
  <si>
    <t xml:space="preserve">  (+) Gasto financiero (revertir, ya está en UAFIR)</t>
  </si>
  <si>
    <t>EBIT (resultado de operación antes de intereses e impuestos)</t>
  </si>
  <si>
    <t xml:space="preserve">  (-) Impuestos teóricos sobre EBIT (ISR efectivo)</t>
  </si>
  <si>
    <t>NOPAT (utilidad operativa neta después de impuestos)</t>
  </si>
  <si>
    <t xml:space="preserve">  (+) Depreciación y EPRC (gastos no efectivos)</t>
  </si>
  <si>
    <t xml:space="preserve">  (-) Inversión en activo fijo (CapEx)</t>
  </si>
  <si>
    <t>FCFF (Free Cash Flow to Firm)</t>
  </si>
  <si>
    <t xml:space="preserve">  FCFF (línea anterior)</t>
  </si>
  <si>
    <t xml:space="preserve">  (-) Intereses pagados × (1 - tasa efectiva impuestos)</t>
  </si>
  <si>
    <t xml:space="preserve">  (+) Variación neta en pasivo financiero (deuda)</t>
  </si>
  <si>
    <t>FCFE (Free Cash Flow to Equity)</t>
  </si>
  <si>
    <t>3. Flujo del inversionista (incluye inversión inicial y valor terminal)</t>
  </si>
  <si>
    <t xml:space="preserve">  Aportación de capital (Año 0)</t>
  </si>
  <si>
    <t xml:space="preserve">  FCFE operativo (línea anterior)</t>
  </si>
  <si>
    <t xml:space="preserve">  (+) Valor terminal en Año 3 (perpetuidad Gordon)</t>
  </si>
  <si>
    <t>Flujo total del inversionista</t>
  </si>
  <si>
    <t>4. Descuento de flujos y valoración del proyecto</t>
  </si>
  <si>
    <t xml:space="preserve">  Periodo (t)</t>
  </si>
  <si>
    <t xml:space="preserve">  Factor de descuento [1 / (1 + Ke)^t]</t>
  </si>
  <si>
    <t xml:space="preserve">  Valor presente del flujo del inversionista</t>
  </si>
  <si>
    <t>5. Indicadores de valoración del proyecto</t>
  </si>
  <si>
    <t xml:space="preserve">  VPN del proyecto (suma de VPs)</t>
  </si>
  <si>
    <t xml:space="preserve">  TIR del equity (Internal Rate of Return)</t>
  </si>
  <si>
    <t xml:space="preserve">  Múltiplo del capital invertido (MOIC = Σ FCFE / Aportación)</t>
  </si>
  <si>
    <t xml:space="preserve">  Valoración por múltiplo P/E × UN Año 3 (cross-check)</t>
  </si>
  <si>
    <t xml:space="preserve">  VP del valor por múltiplo de salida (descontado a hoy)</t>
  </si>
  <si>
    <t>INDICADORES FINANCIEROS Y DE RIESGO</t>
  </si>
  <si>
    <t>Referencia / Banchmark</t>
  </si>
  <si>
    <t>Rentabilidad</t>
  </si>
  <si>
    <t>ROE (Utilidad Neta / Capital promedio)</t>
  </si>
  <si>
    <t>Objetivo: 18% — Banca múltiple MX ~15-22%</t>
  </si>
  <si>
    <t>ROA (Utilidad Neta / Activo promedio)</t>
  </si>
  <si>
    <t>SOFOMES MX: 0.5-4.5% (HR Ratings)</t>
  </si>
  <si>
    <t>NIM (Margen financiero / Cartera promedio)</t>
  </si>
  <si>
    <t>Banca MX: 5-7%, SOFOMES: 8-15%</t>
  </si>
  <si>
    <t>Índice de eficiencia (Gastos adm / Ingreso neto)</t>
  </si>
  <si>
    <t>Banca MX &lt;50% bueno; SOFOMES 35-46%</t>
  </si>
  <si>
    <t>Solvencia y capitalización</t>
  </si>
  <si>
    <t>ICAP (Capital / Activos ponderados por riesgo)</t>
  </si>
  <si>
    <t>Mínimo regulatorio: 10.5% (Basilea III)</t>
  </si>
  <si>
    <t>Apalancamiento (Pasivo / Activo)</t>
  </si>
  <si>
    <t>Objetivo modelo: 85%</t>
  </si>
  <si>
    <t>Calidad de cartera</t>
  </si>
  <si>
    <t>IMOR (Cartera vencida / Cartera total)</t>
  </si>
  <si>
    <t>Vivienda CNBV 2024 ~3%; banca dev. 6.15%</t>
  </si>
  <si>
    <t>IMORA (incluye castigos 12m)</t>
  </si>
  <si>
    <t>Indicador ajustado por write-offs</t>
  </si>
  <si>
    <t>Índice de cobertura (Reservas / Cartera vencida)</t>
  </si>
  <si>
    <t>SOFOMES MX 0.8x-2.1x (HR Ratings)</t>
  </si>
  <si>
    <t>% Cartera castigada anual</t>
  </si>
  <si>
    <t>Supuesto modelo: 2.5%</t>
  </si>
  <si>
    <t>Crecimiento y recuperación del capital</t>
  </si>
  <si>
    <t>Crecimiento de cartera bruta YoY</t>
  </si>
  <si>
    <t>n.a.</t>
  </si>
  <si>
    <t>Utilidad neta acumulada</t>
  </si>
  <si>
    <t>Payback del capital inicial (años)</t>
  </si>
  <si>
    <t>Eficiencia y productividad</t>
  </si>
  <si>
    <t>Cartera bruta por empleado (productividad)</t>
  </si>
  <si>
    <t>Créditos colocados por empleado</t>
  </si>
  <si>
    <t>CAC / Ingreso por intereses primer año</t>
  </si>
  <si>
    <t>Valoración del proyecto (descuento al accionista)</t>
  </si>
  <si>
    <t>VPN del proyecto (FCFE descontado al Ke)</t>
  </si>
  <si>
    <t>TIR del equity (IRR sobre flujo del inversionista)</t>
  </si>
  <si>
    <t>Costo de capital del accionista (Ke, referencia)</t>
  </si>
  <si>
    <t>MOIC (Múltiplo del capital invertido, sin descuento)</t>
  </si>
  <si>
    <t>PD ponderada base:</t>
  </si>
  <si>
    <t>LGD base:</t>
  </si>
  <si>
    <t>PD pond. ↓ / LGD →</t>
  </si>
  <si>
    <t>Volumen Y1 base:</t>
  </si>
  <si>
    <t>Spread fondeo base:</t>
  </si>
  <si>
    <t>Orig Y1 ↓ / Spread →</t>
  </si>
  <si>
    <t>Status</t>
  </si>
  <si>
    <t>Suma mezcla bucket (debe = 100%)</t>
  </si>
  <si>
    <t>Suma etapas IFRS 9 (debe = 100%)</t>
  </si>
  <si>
    <t>Balance cuadra (Activo - Pasivo - Capital = 0)</t>
  </si>
  <si>
    <t>Efectivo final (Flujo) = Disponibilidades (Balance)</t>
  </si>
  <si>
    <t>Total cartera por etapa = Saldo final bruto</t>
  </si>
  <si>
    <t>Vigente + Vencida = Cartera bruta</t>
  </si>
  <si>
    <t>ICAP ≥ 10.5% (Basilea III)</t>
  </si>
  <si>
    <t>Utilidad neta &gt; 0 (rentabilidad)</t>
  </si>
  <si>
    <t>Disponibilidades &gt; 0 (solvencia operativa)</t>
  </si>
  <si>
    <t>Cartera Vencida (Etapa 3) % es razonable (&lt;10%)</t>
  </si>
  <si>
    <t>Cobertura ≥ 0.8x (sano según HR Ratings)</t>
  </si>
  <si>
    <t>VPN del proyecto &gt; 0 (crea valor)</t>
  </si>
  <si>
    <t>TIR del equity &gt; Ke (rentabilidad sobre hurdle)</t>
  </si>
  <si>
    <t>Resumen general</t>
  </si>
  <si>
    <t>ITESO: Instituto Tecnológico y de Estudios Superiores de Occidente</t>
  </si>
  <si>
    <t>3 años</t>
  </si>
  <si>
    <t>100% digital/remoto</t>
  </si>
  <si>
    <t>Inputs editables</t>
  </si>
  <si>
    <t>Originación anual y trimestral por grupo de riesgo</t>
  </si>
  <si>
    <t>Índice</t>
  </si>
  <si>
    <t>Validaciones sobre el balance y consistencias internas</t>
  </si>
  <si>
    <t>Nomenclatura de Colores</t>
  </si>
  <si>
    <t>Input editable</t>
  </si>
  <si>
    <t>Fórmula que depende de inputs</t>
  </si>
  <si>
    <t>Validación de consistencia</t>
  </si>
  <si>
    <t>1.-</t>
  </si>
  <si>
    <t>2.-</t>
  </si>
  <si>
    <t>3.-</t>
  </si>
  <si>
    <t>4.-</t>
  </si>
  <si>
    <t>5.-</t>
  </si>
  <si>
    <t>6.-</t>
  </si>
  <si>
    <t>7.-</t>
  </si>
  <si>
    <t>8.-</t>
  </si>
  <si>
    <t>9.-</t>
  </si>
  <si>
    <t>10.-</t>
  </si>
  <si>
    <t>11.-</t>
  </si>
  <si>
    <t>Cash Flow</t>
  </si>
  <si>
    <t>Estado de Resultados</t>
  </si>
  <si>
    <t>Notebook construcción tasa</t>
  </si>
  <si>
    <t xml:space="preserve">  % Bajo Riesgo</t>
  </si>
  <si>
    <t xml:space="preserve">  % Riesgo Medio</t>
  </si>
  <si>
    <t xml:space="preserve">  % Alto Riesgo</t>
  </si>
  <si>
    <t>Modelo XGBoost</t>
  </si>
  <si>
    <t>Soporta ICAP mínimo Basilea III.</t>
  </si>
  <si>
    <t>Cliente + Aval + recotizaciones.</t>
  </si>
  <si>
    <t>PE = LGD ya que PD = 100%.</t>
  </si>
  <si>
    <t xml:space="preserve">  Política castigo (días)</t>
  </si>
  <si>
    <t>Banxico meta 3% ± 1pp.</t>
  </si>
  <si>
    <t>CAPM: Rf 7% (CETE 10y) + Beta 1.3 × ERP 8% + prima país/iliquidez 5%. ROE objetivo 18% es la base.</t>
  </si>
  <si>
    <t xml:space="preserve">  Total créditos</t>
  </si>
  <si>
    <t>Total créditos originados</t>
  </si>
  <si>
    <t xml:space="preserve">  (-) Capital de trabajo</t>
  </si>
  <si>
    <t>2. Flujo de Caja Libre al Accionista (FCFE) (para los socios)</t>
  </si>
  <si>
    <t>1. Flujo de Caja Libre de la Firma (FCFF) (antes de financiamiento)</t>
  </si>
  <si>
    <t>Tiempo para recuperar el capital</t>
  </si>
  <si>
    <t>Veces que el accionista recupera su inversión</t>
  </si>
  <si>
    <t>ANÁLISIS DE SENSIBILIDAD</t>
  </si>
  <si>
    <t>Tabla 1: ROE Año 3 (%):  Variando PD ponderada y LGD</t>
  </si>
  <si>
    <t>Tabla 2: Utilidad Neta Año 3: Variando volumen Y1 y spread de fondeo</t>
  </si>
  <si>
    <t>Pasados</t>
  </si>
  <si>
    <t>Fallidos</t>
  </si>
  <si>
    <t>VALIDACIONES</t>
  </si>
  <si>
    <t xml:space="preserve">  Cartera Etapa 2 (30-89 días)</t>
  </si>
  <si>
    <t xml:space="preserve">  Cartera Etapa 3 (≥90 días)</t>
  </si>
  <si>
    <t xml:space="preserve">  (-) Castigos</t>
  </si>
  <si>
    <t>SOFOMES de nicho en primeros 12 meses operativos (HR Ratings, 2024)</t>
  </si>
  <si>
    <t>Banxico, 8 mayo 2026  (TIIE 28 días).</t>
  </si>
  <si>
    <t xml:space="preserve"> TIIE para SOFOM sin historial (SHF, 2025)</t>
  </si>
  <si>
    <t>(CNBV Basilea III, 2018)(HR Ratings, 2024).</t>
  </si>
  <si>
    <t>10.5% sobre activos ponderados por riesgo. (CNBV 2018)</t>
  </si>
  <si>
    <t>(CNBV 2018)</t>
  </si>
  <si>
    <t>(CNBV 2022)</t>
  </si>
  <si>
    <t>100% digital (WeWork, Centraal, IOS Offices, 2025)</t>
  </si>
  <si>
    <t>Finvero / Konfío Tech</t>
  </si>
  <si>
    <t xml:space="preserve">  Software (CRM, BI)</t>
  </si>
  <si>
    <t xml:space="preserve">  Servicios (luz, internet, telefono)</t>
  </si>
  <si>
    <t xml:space="preserve">  Honorarios profesionales</t>
  </si>
  <si>
    <t>1.5% del monto. Comisión apertura SOFOMES MX 1-3% (CONDUSEF, 2024).</t>
  </si>
  <si>
    <t>(Kueski, 2024)</t>
  </si>
  <si>
    <t>92-95% en SOFOMES sanas (HR Ratings, 2024).</t>
  </si>
  <si>
    <t>IMOR vivienda (CNBV 2024)</t>
  </si>
  <si>
    <t>(CNBV 2024)</t>
  </si>
  <si>
    <t>PD lifetime × LGD  (Investopedia, 2024; CNBV B-6)</t>
  </si>
  <si>
    <t>(CNBV B-6, 2018)</t>
  </si>
  <si>
    <t>PD ponderada × LGD  (HR Ratings, 2024)</t>
  </si>
  <si>
    <t>Vivienda: 3-7% BBVA (Research, 2024)</t>
  </si>
  <si>
    <t>Constitución Art. 123</t>
  </si>
  <si>
    <t>LISR Art. 9: personas morales</t>
  </si>
  <si>
    <t>Referencias</t>
  </si>
  <si>
    <t>Banco de México. (2025). Reporte de Estabilidad Financiera — Primer Semestre 2025. https://www.banxico.org.mx</t>
  </si>
  <si>
    <t>Banco de México. (2026, mayo 8). TIIE 28 días — Sistema de Información Económica (SIE). https://www.banxico.org.mx/SieInternet/</t>
  </si>
  <si>
    <t>Comisión Nacional Bancaria y de Valores (CNBV). (2018). Disposiciones de Carácter General aplicables a las Instituciones de Crédito (Basilea III en México). https://www.cnbv.gob.mx/</t>
  </si>
  <si>
    <r>
      <t xml:space="preserve">Comisión Nacional Bancaria y de Valores (CNBV). (2018). </t>
    </r>
    <r>
      <rPr>
        <i/>
        <sz val="11"/>
        <color theme="1"/>
        <rFont val="Calibri"/>
        <family val="2"/>
        <charset val="1"/>
      </rPr>
      <t>Criterio Contable B-6 — Estimación preventiva para riesgos crediticios (alineación IFRS 9)</t>
    </r>
    <r>
      <rPr>
        <sz val="11"/>
        <color theme="1"/>
        <rFont val="Calibri"/>
        <family val="2"/>
        <charset val="1"/>
      </rPr>
      <t>. Circular Única de Bancos.</t>
    </r>
  </si>
  <si>
    <t>Comisión Nacional Bancaria y de Valores (CNBV). (2024). Boletín estadístico — Indicadores de la cartera de crédito vivienda, banca múltiple. https://www.cnbv.gob.mx/</t>
  </si>
  <si>
    <t>Comisión Nacional para la Protección y Defensa de los Usuarios de Servicios Financieros (CONDUSEF). (2024). Catálogo de comisiones — SOFOMES E.N.R. https://www.condusef.gob.mx/</t>
  </si>
  <si>
    <t>Constitución Política de los Estados Unidos Mexicanos. (2024). Art. 123, Apartado A, fracción IX. Diario Oficial de la Federación.</t>
  </si>
  <si>
    <t>Damodaran, A. (2025). Equity risk premiums (ERP): Determinants, estimation and implications — 2025 edition. Stern School of Business, NYU. https://pages.stern.nyu.edu/~adamodar/</t>
  </si>
  <si>
    <t>Damodaran, A. (2025). Betas by sector — Emerging markets, Financial services (enero 2025). https://pages.stern.nyu.edu/~adamodar/</t>
  </si>
  <si>
    <t>Data México / Secretaría de Economía. (2025). Salarios promedio — Asesores y Analistas en Finanzas y Administración, T1-2025. https://www.economia.gob.mx/datamexico/</t>
  </si>
  <si>
    <t>HR Ratings. (2024). Crédito Especializado al Campo (CRESCA), SOFOM E.N.R. — Reporte de seguimiento. https://www.hrratings.com/</t>
  </si>
  <si>
    <t>HR Ratings. (2024). Sofoplus, SOFOM E.R. — Revisión anual. https://www.hrratings.com/</t>
  </si>
  <si>
    <t>Instituto Nacional de Estadística y Geografía (INEGI). (2025). Encuesta Nacional de Ocupación y Empleo (ENOE) — Primer trimestre 2025, microdatos de ocupación y salarios. https://www.inegi.org.mx/programas/enoe/</t>
  </si>
  <si>
    <t>Investopedia. (2024). Loss Given Default (LGD): Definition and calculation. https://www.investopedia.com/</t>
  </si>
  <si>
    <r>
      <t xml:space="preserve">Kueski. (2024, octubre 30). </t>
    </r>
    <r>
      <rPr>
        <i/>
        <sz val="11"/>
        <color theme="1"/>
        <rFont val="Calibri"/>
        <family val="2"/>
        <charset val="1"/>
      </rPr>
      <t>Kueski supera 20 millones de préstamos otorgados</t>
    </r>
    <r>
      <rPr>
        <sz val="11"/>
        <color theme="1"/>
        <rFont val="Calibri"/>
        <family val="2"/>
        <charset val="1"/>
      </rPr>
      <t xml:space="preserve"> [Comunicado de prensa]. Yahoo Finance México.</t>
    </r>
  </si>
  <si>
    <t>Ley del Impuesto sobre la Renta (LISR). (2024). Art. 9 — Personas morales. Diario Oficial de la Federación.</t>
  </si>
  <si>
    <t>OCC Mundial. (2025). Ofertas de empleo sector financiero y fintech México — análisis salarial Q1 2025. https://www.occ.com.mx/</t>
  </si>
  <si>
    <t>Sociedad Hipotecaria Federal (SHF). (2025). Condiciones de financiamiento para intermediarios financieros no bancarios. https://www.shf.gob.mx/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</si>
</sst>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$#,##0;&quot;($&quot;#,##0\);\-"/>
    <numFmt numFmtId="165" formatCode="#,##0;\(#,##0\);\-"/>
    <numFmt numFmtId="166" formatCode="0.0&quot;  años&quot;"/>
    <numFmt numFmtId="167" formatCode="0.0%;\(0.0%\);\-"/>
    <numFmt numFmtId="168" formatCode="0.00%;\(0.00%\);\-"/>
    <numFmt numFmtId="169" formatCode="0.00\x"/>
    <numFmt numFmtId="170" formatCode="0.0\x"/>
    <numFmt numFmtId="171" formatCode="0&quot;  días&quot;"/>
    <numFmt numFmtId="172" formatCode="0.0000"/>
    <numFmt numFmtId="173" formatCode="0.0000%;\(0.0000%\);\-"/>
  </numFmts>
  <fonts count="23" x14ac:knownFonts="1">
    <font>
      <sz val="11"/>
      <color theme="1"/>
      <name val="Calibri"/>
      <family val="2"/>
      <charset val="1"/>
    </font>
    <font>
      <b/>
      <sz val="28"/>
      <color rgb="FFFFFFFF"/>
      <name val="Calibri"/>
      <family val="2"/>
    </font>
    <font>
      <b/>
      <sz val="15"/>
      <color rgb="FF1F4E79"/>
      <name val="Calibri"/>
      <family val="2"/>
    </font>
    <font>
      <i/>
      <sz val="11"/>
      <color rgb="FF595959"/>
      <name val="Calibri"/>
      <family val="2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1F4E79"/>
      <name val="Calibri"/>
      <family val="2"/>
    </font>
    <font>
      <b/>
      <sz val="11"/>
      <color rgb="FF006100"/>
      <name val="Calibri"/>
      <family val="2"/>
    </font>
    <font>
      <sz val="10"/>
      <color rgb="FF595959"/>
      <name val="Calibri"/>
      <family val="2"/>
    </font>
    <font>
      <b/>
      <sz val="11"/>
      <color rgb="FF0000FF"/>
      <name val="Calibri"/>
      <family val="2"/>
    </font>
    <font>
      <sz val="10"/>
      <color rgb="FF000000"/>
      <name val="Calibri"/>
      <family val="2"/>
    </font>
    <font>
      <b/>
      <sz val="11"/>
      <color rgb="FFC00000"/>
      <name val="Calibri"/>
      <family val="2"/>
    </font>
    <font>
      <i/>
      <sz val="10"/>
      <color rgb="FF595959"/>
      <name val="Calibri"/>
      <family val="2"/>
    </font>
    <font>
      <sz val="11"/>
      <color rgb="FF0000FF"/>
      <name val="Calibri"/>
      <family val="2"/>
    </font>
    <font>
      <i/>
      <sz val="9"/>
      <color rgb="FF595959"/>
      <name val="Calibri"/>
      <family val="2"/>
    </font>
    <font>
      <i/>
      <sz val="11"/>
      <color rgb="FFC00000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6100"/>
      <name val="Calibri"/>
      <family val="2"/>
    </font>
    <font>
      <i/>
      <sz val="10"/>
      <color rgb="FF006100"/>
      <name val="Calibri"/>
      <family val="2"/>
    </font>
    <font>
      <b/>
      <sz val="14"/>
      <color rgb="FF000000"/>
      <name val="Calibri"/>
      <family val="2"/>
    </font>
    <font>
      <i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BDD7EE"/>
      </patternFill>
    </fill>
    <fill>
      <patternFill patternType="solid">
        <fgColor rgb="FFFFF2CC"/>
        <bgColor rgb="FFFFFFFF"/>
      </patternFill>
    </fill>
    <fill>
      <patternFill patternType="solid">
        <fgColor rgb="FFBDD7EE"/>
        <bgColor rgb="FFD9E1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4E79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5" fillId="0" borderId="0" xfId="0" applyFont="1" applyAlignment="1">
      <alignment horizontal="left" wrapText="1" indent="1"/>
    </xf>
    <xf numFmtId="0" fontId="11" fillId="0" borderId="0" xfId="0" applyFont="1"/>
    <xf numFmtId="0" fontId="5" fillId="0" borderId="0" xfId="0" applyFont="1" applyAlignment="1">
      <alignment horizontal="left" indent="1"/>
    </xf>
    <xf numFmtId="0" fontId="7" fillId="0" borderId="0" xfId="0" applyFont="1" applyAlignment="1">
      <alignment horizontal="center"/>
    </xf>
    <xf numFmtId="0" fontId="8" fillId="0" borderId="0" xfId="0" applyFont="1"/>
    <xf numFmtId="0" fontId="10" fillId="0" borderId="0" xfId="0" applyFont="1"/>
    <xf numFmtId="0" fontId="5" fillId="0" borderId="0" xfId="0" applyFont="1"/>
    <xf numFmtId="0" fontId="12" fillId="0" borderId="0" xfId="0" applyFont="1"/>
    <xf numFmtId="0" fontId="6" fillId="0" borderId="0" xfId="0" applyFont="1" applyAlignment="1">
      <alignment horizontal="left" indent="1"/>
    </xf>
    <xf numFmtId="164" fontId="14" fillId="0" borderId="0" xfId="0" applyNumberFormat="1" applyFont="1" applyAlignment="1">
      <alignment horizontal="right"/>
    </xf>
    <xf numFmtId="165" fontId="14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7" fontId="14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67" fontId="16" fillId="4" borderId="0" xfId="0" applyNumberFormat="1" applyFont="1" applyFill="1" applyAlignment="1">
      <alignment horizontal="right"/>
    </xf>
    <xf numFmtId="168" fontId="14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169" fontId="14" fillId="0" borderId="0" xfId="0" applyNumberFormat="1" applyFont="1" applyAlignment="1">
      <alignment horizontal="right"/>
    </xf>
    <xf numFmtId="0" fontId="4" fillId="2" borderId="2" xfId="0" applyFont="1" applyFill="1" applyBorder="1" applyAlignment="1">
      <alignment horizontal="center" vertical="center"/>
    </xf>
    <xf numFmtId="165" fontId="14" fillId="0" borderId="0" xfId="0" applyNumberFormat="1" applyFont="1"/>
    <xf numFmtId="0" fontId="17" fillId="0" borderId="0" xfId="0" applyFont="1"/>
    <xf numFmtId="165" fontId="5" fillId="5" borderId="3" xfId="0" applyNumberFormat="1" applyFont="1" applyFill="1" applyBorder="1"/>
    <xf numFmtId="0" fontId="13" fillId="0" borderId="0" xfId="0" applyFont="1"/>
    <xf numFmtId="164" fontId="6" fillId="0" borderId="0" xfId="0" applyNumberFormat="1" applyFont="1"/>
    <xf numFmtId="164" fontId="5" fillId="5" borderId="3" xfId="0" applyNumberFormat="1" applyFont="1" applyFill="1" applyBorder="1"/>
    <xf numFmtId="170" fontId="14" fillId="0" borderId="0" xfId="0" applyNumberFormat="1" applyFont="1" applyAlignment="1">
      <alignment horizontal="right"/>
    </xf>
    <xf numFmtId="171" fontId="14" fillId="0" borderId="0" xfId="0" applyNumberFormat="1" applyFont="1" applyAlignment="1">
      <alignment horizontal="right"/>
    </xf>
    <xf numFmtId="0" fontId="18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165" fontId="8" fillId="0" borderId="0" xfId="0" applyNumberFormat="1" applyFont="1"/>
    <xf numFmtId="165" fontId="5" fillId="0" borderId="0" xfId="0" applyNumberFormat="1" applyFont="1"/>
    <xf numFmtId="0" fontId="6" fillId="0" borderId="0" xfId="0" applyFont="1" applyAlignment="1">
      <alignment horizontal="left" vertical="center" indent="1"/>
    </xf>
    <xf numFmtId="164" fontId="19" fillId="0" borderId="0" xfId="0" applyNumberFormat="1" applyFont="1"/>
    <xf numFmtId="164" fontId="5" fillId="0" borderId="0" xfId="0" applyNumberFormat="1" applyFont="1"/>
    <xf numFmtId="0" fontId="11" fillId="0" borderId="0" xfId="0" applyFont="1" applyAlignment="1">
      <alignment horizontal="left" vertical="center" indent="1"/>
    </xf>
    <xf numFmtId="165" fontId="6" fillId="0" borderId="0" xfId="0" applyNumberFormat="1" applyFont="1"/>
    <xf numFmtId="0" fontId="17" fillId="0" borderId="0" xfId="0" applyFont="1" applyAlignment="1">
      <alignment horizontal="left" vertical="center" indent="1"/>
    </xf>
    <xf numFmtId="167" fontId="14" fillId="0" borderId="0" xfId="0" applyNumberFormat="1" applyFont="1"/>
    <xf numFmtId="167" fontId="16" fillId="4" borderId="0" xfId="0" applyNumberFormat="1" applyFont="1" applyFill="1"/>
    <xf numFmtId="164" fontId="14" fillId="0" borderId="0" xfId="0" applyNumberFormat="1" applyFont="1"/>
    <xf numFmtId="168" fontId="6" fillId="0" borderId="0" xfId="0" applyNumberFormat="1" applyFont="1"/>
    <xf numFmtId="169" fontId="6" fillId="0" borderId="0" xfId="0" applyNumberFormat="1" applyFont="1"/>
    <xf numFmtId="0" fontId="11" fillId="0" borderId="0" xfId="0" applyFont="1" applyAlignment="1">
      <alignment horizontal="left" vertical="center" indent="2"/>
    </xf>
    <xf numFmtId="164" fontId="20" fillId="0" borderId="0" xfId="0" applyNumberFormat="1" applyFont="1"/>
    <xf numFmtId="164" fontId="16" fillId="4" borderId="0" xfId="0" applyNumberFormat="1" applyFont="1" applyFill="1"/>
    <xf numFmtId="164" fontId="5" fillId="0" borderId="3" xfId="0" applyNumberFormat="1" applyFont="1" applyBorder="1"/>
    <xf numFmtId="172" fontId="6" fillId="0" borderId="0" xfId="0" applyNumberFormat="1" applyFont="1"/>
    <xf numFmtId="168" fontId="5" fillId="5" borderId="3" xfId="0" applyNumberFormat="1" applyFont="1" applyFill="1" applyBorder="1"/>
    <xf numFmtId="169" fontId="5" fillId="5" borderId="3" xfId="0" applyNumberFormat="1" applyFont="1" applyFill="1" applyBorder="1"/>
    <xf numFmtId="168" fontId="5" fillId="0" borderId="0" xfId="0" applyNumberFormat="1" applyFont="1"/>
    <xf numFmtId="0" fontId="15" fillId="0" borderId="0" xfId="0" applyFont="1" applyAlignment="1">
      <alignment horizontal="left" vertical="center" indent="1"/>
    </xf>
    <xf numFmtId="168" fontId="19" fillId="0" borderId="0" xfId="0" applyNumberFormat="1" applyFont="1"/>
    <xf numFmtId="169" fontId="19" fillId="0" borderId="0" xfId="0" applyNumberFormat="1" applyFont="1"/>
    <xf numFmtId="0" fontId="6" fillId="0" borderId="0" xfId="0" applyFont="1" applyAlignment="1">
      <alignment horizontal="right"/>
    </xf>
    <xf numFmtId="166" fontId="5" fillId="0" borderId="0" xfId="0" applyNumberFormat="1" applyFont="1"/>
    <xf numFmtId="164" fontId="8" fillId="0" borderId="0" xfId="0" applyNumberFormat="1" applyFont="1"/>
    <xf numFmtId="168" fontId="8" fillId="0" borderId="0" xfId="0" applyNumberFormat="1" applyFont="1"/>
    <xf numFmtId="167" fontId="19" fillId="0" borderId="0" xfId="0" applyNumberFormat="1" applyFont="1"/>
    <xf numFmtId="167" fontId="10" fillId="4" borderId="0" xfId="0" applyNumberFormat="1" applyFont="1" applyFill="1" applyAlignment="1">
      <alignment horizontal="center"/>
    </xf>
    <xf numFmtId="168" fontId="6" fillId="0" borderId="0" xfId="0" applyNumberFormat="1" applyFont="1" applyAlignment="1">
      <alignment horizontal="center"/>
    </xf>
    <xf numFmtId="165" fontId="19" fillId="0" borderId="0" xfId="0" applyNumberFormat="1" applyFont="1"/>
    <xf numFmtId="168" fontId="10" fillId="4" borderId="0" xfId="0" applyNumberFormat="1" applyFont="1" applyFill="1" applyAlignment="1">
      <alignment horizontal="center"/>
    </xf>
    <xf numFmtId="165" fontId="10" fillId="4" borderId="0" xfId="0" applyNumberFormat="1" applyFont="1" applyFill="1" applyAlignment="1">
      <alignment horizontal="center"/>
    </xf>
    <xf numFmtId="167" fontId="6" fillId="0" borderId="0" xfId="0" applyNumberFormat="1" applyFont="1"/>
    <xf numFmtId="0" fontId="21" fillId="0" borderId="0" xfId="0" applyFont="1" applyAlignment="1">
      <alignment horizontal="center" vertical="center"/>
    </xf>
    <xf numFmtId="173" fontId="14" fillId="0" borderId="0" xfId="0" applyNumberFormat="1" applyFont="1" applyAlignment="1">
      <alignment horizontal="right"/>
    </xf>
    <xf numFmtId="0" fontId="6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left" vertical="center" indent="1"/>
    </xf>
    <xf numFmtId="0" fontId="9" fillId="0" borderId="0" xfId="0" applyFont="1"/>
    <xf numFmtId="0" fontId="13" fillId="0" borderId="0" xfId="0" applyFont="1" applyAlignment="1">
      <alignment horizontal="left" vertical="center" wrapText="1"/>
    </xf>
    <xf numFmtId="0" fontId="11" fillId="0" borderId="0" xfId="0" applyFont="1"/>
    <xf numFmtId="0" fontId="7" fillId="3" borderId="1" xfId="0" applyFont="1" applyFill="1" applyBorder="1" applyAlignment="1">
      <alignment horizontal="left" vertical="center" indent="1"/>
    </xf>
    <xf numFmtId="0" fontId="15" fillId="0" borderId="0" xfId="0" applyFont="1" applyAlignment="1">
      <alignment horizontal="left" wrapText="1" indent="1"/>
    </xf>
    <xf numFmtId="0" fontId="15" fillId="0" borderId="0" xfId="0" applyFont="1"/>
    <xf numFmtId="0" fontId="15" fillId="0" borderId="0" xfId="0" applyFont="1" applyAlignment="1">
      <alignment horizontal="left" vertical="top" wrapText="1"/>
    </xf>
  </cellXfs>
  <cellStyles count="1">
    <cellStyle name="Normal" xfId="0" builtinId="0"/>
  </cellStyles>
  <dxfs count="2"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6"/>
  <sheetViews>
    <sheetView showGridLines="0" tabSelected="1" topLeftCell="A35" zoomScaleNormal="100" workbookViewId="0">
      <selection activeCell="J12" sqref="J12"/>
    </sheetView>
  </sheetViews>
  <sheetFormatPr baseColWidth="10" defaultColWidth="8.68359375" defaultRowHeight="14.4" x14ac:dyDescent="0.55000000000000004"/>
  <cols>
    <col min="1" max="1" width="2" customWidth="1"/>
    <col min="2" max="3" width="22" customWidth="1"/>
    <col min="4" max="8" width="18" customWidth="1"/>
  </cols>
  <sheetData>
    <row r="2" spans="2:8" ht="24.75" customHeight="1" x14ac:dyDescent="0.55000000000000004">
      <c r="B2" s="69" t="s">
        <v>0</v>
      </c>
      <c r="C2" s="69"/>
      <c r="D2" s="69"/>
      <c r="E2" s="69"/>
      <c r="F2" s="69"/>
      <c r="G2" s="69"/>
      <c r="H2" s="69"/>
    </row>
    <row r="3" spans="2:8" ht="24.75" customHeight="1" x14ac:dyDescent="0.55000000000000004">
      <c r="B3" s="69"/>
      <c r="C3" s="69"/>
      <c r="D3" s="69"/>
      <c r="E3" s="69"/>
      <c r="F3" s="69"/>
      <c r="G3" s="69"/>
      <c r="H3" s="69"/>
    </row>
    <row r="4" spans="2:8" ht="24.75" customHeight="1" x14ac:dyDescent="0.55000000000000004">
      <c r="B4" s="69"/>
      <c r="C4" s="69"/>
      <c r="D4" s="69"/>
      <c r="E4" s="69"/>
      <c r="F4" s="69"/>
      <c r="G4" s="69"/>
      <c r="H4" s="69"/>
    </row>
    <row r="5" spans="2:8" ht="24.75" customHeight="1" x14ac:dyDescent="0.55000000000000004">
      <c r="B5" s="69"/>
      <c r="C5" s="69"/>
      <c r="D5" s="69"/>
      <c r="E5" s="69"/>
      <c r="F5" s="69"/>
      <c r="G5" s="69"/>
      <c r="H5" s="69"/>
    </row>
    <row r="6" spans="2:8" ht="24.75" customHeight="1" x14ac:dyDescent="0.55000000000000004">
      <c r="B6" s="70" t="s">
        <v>1</v>
      </c>
      <c r="C6" s="70"/>
      <c r="D6" s="70"/>
      <c r="E6" s="70"/>
      <c r="F6" s="70"/>
      <c r="G6" s="70"/>
      <c r="H6" s="70"/>
    </row>
    <row r="7" spans="2:8" ht="24.75" customHeight="1" x14ac:dyDescent="0.55000000000000004">
      <c r="B7" s="70"/>
      <c r="C7" s="70"/>
      <c r="D7" s="70"/>
      <c r="E7" s="70"/>
      <c r="F7" s="70"/>
      <c r="G7" s="70"/>
      <c r="H7" s="70"/>
    </row>
    <row r="8" spans="2:8" x14ac:dyDescent="0.55000000000000004">
      <c r="B8" s="71" t="s">
        <v>2</v>
      </c>
      <c r="C8" s="71"/>
      <c r="D8" s="71"/>
      <c r="E8" s="71"/>
      <c r="F8" s="71"/>
      <c r="G8" s="71"/>
      <c r="H8" s="71"/>
    </row>
    <row r="11" spans="2:8" ht="15.6" x14ac:dyDescent="0.55000000000000004">
      <c r="B11" s="72" t="s">
        <v>3</v>
      </c>
      <c r="C11" s="72"/>
      <c r="D11" s="72"/>
      <c r="E11" s="72"/>
      <c r="F11" s="72"/>
      <c r="G11" s="72"/>
      <c r="H11" s="72"/>
    </row>
    <row r="13" spans="2:8" x14ac:dyDescent="0.55000000000000004">
      <c r="B13" s="3" t="s">
        <v>4</v>
      </c>
      <c r="D13" s="68" t="s">
        <v>5</v>
      </c>
      <c r="E13" s="68"/>
      <c r="F13" s="68"/>
      <c r="G13" s="68"/>
      <c r="H13" s="68"/>
    </row>
    <row r="14" spans="2:8" x14ac:dyDescent="0.55000000000000004">
      <c r="B14" s="3" t="s">
        <v>6</v>
      </c>
      <c r="D14" s="68" t="s">
        <v>356</v>
      </c>
      <c r="E14" s="68"/>
      <c r="F14" s="68"/>
      <c r="G14" s="68"/>
      <c r="H14" s="68"/>
    </row>
    <row r="15" spans="2:8" x14ac:dyDescent="0.55000000000000004">
      <c r="B15" s="3" t="s">
        <v>7</v>
      </c>
      <c r="D15" s="68" t="s">
        <v>8</v>
      </c>
      <c r="E15" s="68"/>
      <c r="F15" s="68"/>
      <c r="G15" s="68"/>
      <c r="H15" s="68"/>
    </row>
    <row r="16" spans="2:8" x14ac:dyDescent="0.55000000000000004">
      <c r="B16" s="3" t="s">
        <v>9</v>
      </c>
      <c r="D16" s="68" t="s">
        <v>357</v>
      </c>
      <c r="E16" s="68"/>
      <c r="F16" s="68"/>
      <c r="G16" s="68"/>
      <c r="H16" s="68"/>
    </row>
    <row r="17" spans="2:8" x14ac:dyDescent="0.55000000000000004">
      <c r="B17" s="3" t="s">
        <v>10</v>
      </c>
      <c r="D17" s="68" t="s">
        <v>11</v>
      </c>
      <c r="E17" s="68"/>
      <c r="F17" s="68"/>
      <c r="G17" s="68"/>
      <c r="H17" s="68"/>
    </row>
    <row r="18" spans="2:8" x14ac:dyDescent="0.55000000000000004">
      <c r="B18" s="3" t="s">
        <v>12</v>
      </c>
      <c r="D18" s="68" t="s">
        <v>13</v>
      </c>
      <c r="E18" s="68"/>
      <c r="F18" s="68"/>
      <c r="G18" s="68"/>
      <c r="H18" s="68"/>
    </row>
    <row r="19" spans="2:8" x14ac:dyDescent="0.55000000000000004">
      <c r="B19" s="3" t="s">
        <v>14</v>
      </c>
      <c r="D19" s="68" t="s">
        <v>358</v>
      </c>
      <c r="E19" s="68"/>
      <c r="F19" s="68"/>
      <c r="G19" s="68"/>
      <c r="H19" s="68"/>
    </row>
    <row r="22" spans="2:8" ht="15.6" x14ac:dyDescent="0.55000000000000004">
      <c r="B22" s="72" t="s">
        <v>361</v>
      </c>
      <c r="C22" s="72"/>
      <c r="D22" s="72"/>
      <c r="E22" s="72"/>
      <c r="F22" s="72"/>
      <c r="G22" s="72"/>
      <c r="H22" s="72"/>
    </row>
    <row r="24" spans="2:8" x14ac:dyDescent="0.55000000000000004">
      <c r="B24" s="4" t="s">
        <v>367</v>
      </c>
      <c r="C24" s="5" t="s">
        <v>15</v>
      </c>
      <c r="D24" s="73" t="s">
        <v>16</v>
      </c>
      <c r="E24" s="73"/>
      <c r="F24" s="73"/>
      <c r="G24" s="73"/>
      <c r="H24" s="73"/>
    </row>
    <row r="25" spans="2:8" x14ac:dyDescent="0.55000000000000004">
      <c r="B25" s="4" t="s">
        <v>368</v>
      </c>
      <c r="C25" s="5" t="s">
        <v>17</v>
      </c>
      <c r="D25" s="73" t="s">
        <v>359</v>
      </c>
      <c r="E25" s="73"/>
      <c r="F25" s="73"/>
      <c r="G25" s="73"/>
      <c r="H25" s="73"/>
    </row>
    <row r="26" spans="2:8" x14ac:dyDescent="0.55000000000000004">
      <c r="B26" s="4" t="s">
        <v>369</v>
      </c>
      <c r="C26" s="5" t="s">
        <v>18</v>
      </c>
      <c r="D26" s="73" t="s">
        <v>360</v>
      </c>
      <c r="E26" s="73"/>
      <c r="F26" s="73"/>
      <c r="G26" s="73"/>
      <c r="H26" s="73"/>
    </row>
    <row r="27" spans="2:8" x14ac:dyDescent="0.55000000000000004">
      <c r="B27" s="4" t="s">
        <v>370</v>
      </c>
      <c r="C27" s="5" t="s">
        <v>19</v>
      </c>
      <c r="D27" s="73" t="s">
        <v>20</v>
      </c>
      <c r="E27" s="73"/>
      <c r="F27" s="73"/>
      <c r="G27" s="73"/>
      <c r="H27" s="73"/>
    </row>
    <row r="28" spans="2:8" x14ac:dyDescent="0.55000000000000004">
      <c r="B28" s="4" t="s">
        <v>371</v>
      </c>
      <c r="C28" s="5" t="s">
        <v>379</v>
      </c>
      <c r="D28" s="73" t="s">
        <v>21</v>
      </c>
      <c r="E28" s="73"/>
      <c r="F28" s="73"/>
      <c r="G28" s="73"/>
      <c r="H28" s="73"/>
    </row>
    <row r="29" spans="2:8" x14ac:dyDescent="0.55000000000000004">
      <c r="B29" s="4" t="s">
        <v>372</v>
      </c>
      <c r="C29" s="5" t="s">
        <v>22</v>
      </c>
      <c r="D29" s="73" t="s">
        <v>23</v>
      </c>
      <c r="E29" s="73"/>
      <c r="F29" s="73"/>
      <c r="G29" s="73"/>
      <c r="H29" s="73"/>
    </row>
    <row r="30" spans="2:8" x14ac:dyDescent="0.55000000000000004">
      <c r="B30" s="4" t="s">
        <v>373</v>
      </c>
      <c r="C30" s="5" t="s">
        <v>24</v>
      </c>
      <c r="D30" s="73" t="s">
        <v>25</v>
      </c>
      <c r="E30" s="73"/>
      <c r="F30" s="73"/>
      <c r="G30" s="73"/>
      <c r="H30" s="73"/>
    </row>
    <row r="31" spans="2:8" x14ac:dyDescent="0.55000000000000004">
      <c r="B31" s="4" t="s">
        <v>374</v>
      </c>
      <c r="C31" s="5" t="s">
        <v>378</v>
      </c>
      <c r="D31" s="73" t="s">
        <v>25</v>
      </c>
      <c r="E31" s="73"/>
      <c r="F31" s="73"/>
      <c r="G31" s="73"/>
      <c r="H31" s="73"/>
    </row>
    <row r="32" spans="2:8" x14ac:dyDescent="0.55000000000000004">
      <c r="B32" s="4" t="s">
        <v>375</v>
      </c>
      <c r="C32" s="5" t="s">
        <v>26</v>
      </c>
      <c r="D32" s="73" t="s">
        <v>27</v>
      </c>
      <c r="E32" s="73"/>
      <c r="F32" s="73"/>
      <c r="G32" s="73"/>
      <c r="H32" s="73"/>
    </row>
    <row r="33" spans="2:8" x14ac:dyDescent="0.55000000000000004">
      <c r="B33" s="4" t="s">
        <v>376</v>
      </c>
      <c r="C33" s="5" t="s">
        <v>28</v>
      </c>
      <c r="D33" s="73" t="s">
        <v>29</v>
      </c>
      <c r="E33" s="73"/>
      <c r="F33" s="73"/>
      <c r="G33" s="73"/>
      <c r="H33" s="73"/>
    </row>
    <row r="34" spans="2:8" x14ac:dyDescent="0.55000000000000004">
      <c r="B34" s="4" t="s">
        <v>377</v>
      </c>
      <c r="C34" s="5" t="s">
        <v>30</v>
      </c>
      <c r="D34" s="73" t="s">
        <v>362</v>
      </c>
      <c r="E34" s="73"/>
      <c r="F34" s="73"/>
      <c r="G34" s="73"/>
      <c r="H34" s="73"/>
    </row>
    <row r="37" spans="2:8" ht="15.6" x14ac:dyDescent="0.55000000000000004">
      <c r="B37" s="72" t="s">
        <v>363</v>
      </c>
      <c r="C37" s="72"/>
      <c r="D37" s="72"/>
      <c r="E37" s="72"/>
      <c r="F37" s="72"/>
      <c r="G37" s="72"/>
      <c r="H37" s="72"/>
    </row>
    <row r="39" spans="2:8" x14ac:dyDescent="0.55000000000000004">
      <c r="B39" s="6" t="s">
        <v>31</v>
      </c>
      <c r="D39" s="75" t="s">
        <v>364</v>
      </c>
      <c r="E39" s="75"/>
      <c r="F39" s="75"/>
      <c r="G39" s="75"/>
      <c r="H39" s="75"/>
    </row>
    <row r="40" spans="2:8" x14ac:dyDescent="0.55000000000000004">
      <c r="B40" s="7" t="s">
        <v>32</v>
      </c>
      <c r="D40" s="75" t="s">
        <v>365</v>
      </c>
      <c r="E40" s="75"/>
      <c r="F40" s="75"/>
      <c r="G40" s="75"/>
      <c r="H40" s="75"/>
    </row>
    <row r="41" spans="2:8" x14ac:dyDescent="0.55000000000000004">
      <c r="B41" s="5" t="s">
        <v>33</v>
      </c>
      <c r="D41" s="75" t="s">
        <v>34</v>
      </c>
      <c r="E41" s="75"/>
      <c r="F41" s="75"/>
      <c r="G41" s="75"/>
      <c r="H41" s="75"/>
    </row>
    <row r="42" spans="2:8" x14ac:dyDescent="0.55000000000000004">
      <c r="B42" s="8" t="s">
        <v>35</v>
      </c>
      <c r="D42" s="75" t="s">
        <v>366</v>
      </c>
      <c r="E42" s="75"/>
      <c r="F42" s="75"/>
      <c r="G42" s="75"/>
      <c r="H42" s="75"/>
    </row>
    <row r="45" spans="2:8" ht="15" customHeight="1" x14ac:dyDescent="0.55000000000000004">
      <c r="B45" s="74"/>
      <c r="C45" s="74"/>
      <c r="D45" s="74"/>
      <c r="E45" s="74"/>
      <c r="F45" s="74"/>
      <c r="G45" s="74"/>
      <c r="H45" s="74"/>
    </row>
    <row r="46" spans="2:8" x14ac:dyDescent="0.55000000000000004">
      <c r="B46" s="74"/>
      <c r="C46" s="74"/>
      <c r="D46" s="74"/>
      <c r="E46" s="74"/>
      <c r="F46" s="74"/>
      <c r="G46" s="74"/>
      <c r="H46" s="74"/>
    </row>
  </sheetData>
  <mergeCells count="29">
    <mergeCell ref="B45:H46"/>
    <mergeCell ref="D31:H31"/>
    <mergeCell ref="B37:H37"/>
    <mergeCell ref="D39:H39"/>
    <mergeCell ref="D40:H40"/>
    <mergeCell ref="D41:H41"/>
    <mergeCell ref="D42:H42"/>
    <mergeCell ref="D29:H29"/>
    <mergeCell ref="D30:H30"/>
    <mergeCell ref="D32:H32"/>
    <mergeCell ref="D33:H33"/>
    <mergeCell ref="D34:H34"/>
    <mergeCell ref="D24:H24"/>
    <mergeCell ref="D25:H25"/>
    <mergeCell ref="D26:H26"/>
    <mergeCell ref="D27:H27"/>
    <mergeCell ref="D28:H28"/>
    <mergeCell ref="D16:H16"/>
    <mergeCell ref="D17:H17"/>
    <mergeCell ref="D18:H18"/>
    <mergeCell ref="D19:H19"/>
    <mergeCell ref="B22:H22"/>
    <mergeCell ref="D14:H14"/>
    <mergeCell ref="D15:H15"/>
    <mergeCell ref="B2:H5"/>
    <mergeCell ref="B6:H7"/>
    <mergeCell ref="B8:H8"/>
    <mergeCell ref="B11:H11"/>
    <mergeCell ref="D13:H13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72"/>
  <sheetViews>
    <sheetView showGridLines="0" topLeftCell="A19" zoomScale="67" zoomScaleNormal="100" workbookViewId="0">
      <selection activeCell="D32" sqref="D32"/>
    </sheetView>
  </sheetViews>
  <sheetFormatPr baseColWidth="10" defaultColWidth="8.68359375" defaultRowHeight="14.4" x14ac:dyDescent="0.55000000000000004"/>
  <cols>
    <col min="1" max="1" width="2" customWidth="1"/>
    <col min="2" max="2" width="48" customWidth="1"/>
    <col min="3" max="3" width="2" customWidth="1"/>
    <col min="4" max="4" width="18" customWidth="1"/>
    <col min="5" max="7" width="30" customWidth="1"/>
  </cols>
  <sheetData>
    <row r="2" spans="2:7" ht="21.75" customHeight="1" x14ac:dyDescent="0.55000000000000004">
      <c r="B2" s="72" t="s">
        <v>36</v>
      </c>
      <c r="C2" s="72"/>
      <c r="D2" s="72"/>
      <c r="E2" s="72"/>
      <c r="F2" s="72"/>
      <c r="G2" s="72"/>
    </row>
    <row r="4" spans="2:7" x14ac:dyDescent="0.55000000000000004">
      <c r="B4" s="76" t="s">
        <v>37</v>
      </c>
      <c r="C4" s="76"/>
      <c r="D4" s="76"/>
      <c r="E4" s="76"/>
      <c r="F4" s="76"/>
      <c r="G4" s="76"/>
    </row>
    <row r="5" spans="2:7" ht="15" customHeight="1" x14ac:dyDescent="0.55000000000000004">
      <c r="B5" s="9" t="s">
        <v>38</v>
      </c>
      <c r="D5" s="10">
        <v>200000</v>
      </c>
      <c r="E5" s="77" t="s">
        <v>39</v>
      </c>
      <c r="F5" s="77"/>
      <c r="G5" s="77"/>
    </row>
    <row r="6" spans="2:7" ht="15" customHeight="1" x14ac:dyDescent="0.55000000000000004">
      <c r="B6" s="9" t="s">
        <v>40</v>
      </c>
      <c r="D6" s="11">
        <v>96</v>
      </c>
      <c r="E6" s="77" t="s">
        <v>41</v>
      </c>
      <c r="F6" s="77"/>
      <c r="G6" s="77"/>
    </row>
    <row r="7" spans="2:7" x14ac:dyDescent="0.55000000000000004">
      <c r="B7" s="9" t="s">
        <v>42</v>
      </c>
      <c r="D7" s="12">
        <f>Supuestos!$D$6/12</f>
        <v>8</v>
      </c>
    </row>
    <row r="9" spans="2:7" x14ac:dyDescent="0.55000000000000004">
      <c r="B9" s="76" t="s">
        <v>43</v>
      </c>
      <c r="C9" s="76"/>
      <c r="D9" s="76"/>
      <c r="E9" s="76"/>
      <c r="F9" s="76"/>
      <c r="G9" s="76"/>
    </row>
    <row r="10" spans="2:7" ht="15" customHeight="1" x14ac:dyDescent="0.55000000000000004">
      <c r="B10" s="9" t="s">
        <v>44</v>
      </c>
      <c r="D10" s="11">
        <v>500</v>
      </c>
      <c r="E10" s="77" t="s">
        <v>407</v>
      </c>
      <c r="F10" s="77"/>
      <c r="G10" s="77"/>
    </row>
    <row r="11" spans="2:7" ht="15" customHeight="1" x14ac:dyDescent="0.55000000000000004">
      <c r="B11" s="9" t="s">
        <v>45</v>
      </c>
      <c r="D11" s="13">
        <v>0.3</v>
      </c>
      <c r="E11" s="77" t="s">
        <v>46</v>
      </c>
      <c r="F11" s="77"/>
      <c r="G11" s="77"/>
    </row>
    <row r="12" spans="2:7" x14ac:dyDescent="0.55000000000000004">
      <c r="B12" s="9" t="s">
        <v>47</v>
      </c>
      <c r="D12" s="13">
        <v>0.3</v>
      </c>
      <c r="E12" s="77" t="s">
        <v>46</v>
      </c>
      <c r="F12" s="77"/>
      <c r="G12" s="77"/>
    </row>
    <row r="13" spans="2:7" x14ac:dyDescent="0.55000000000000004">
      <c r="B13" s="9" t="s">
        <v>48</v>
      </c>
      <c r="D13" s="14">
        <f>Supuestos!$D$10*(1+Supuestos!$D$11)</f>
        <v>650</v>
      </c>
    </row>
    <row r="14" spans="2:7" x14ac:dyDescent="0.55000000000000004">
      <c r="B14" s="9" t="s">
        <v>49</v>
      </c>
      <c r="D14" s="14">
        <f>Supuestos!$D$13*(1+Supuestos!$D$12)</f>
        <v>845</v>
      </c>
    </row>
    <row r="15" spans="2:7" x14ac:dyDescent="0.55000000000000004">
      <c r="B15" s="9" t="s">
        <v>50</v>
      </c>
      <c r="D15" s="15">
        <f>Supuestos!$D$10*Supuestos!$D$5</f>
        <v>100000000</v>
      </c>
    </row>
    <row r="16" spans="2:7" x14ac:dyDescent="0.55000000000000004">
      <c r="B16" s="9" t="s">
        <v>51</v>
      </c>
      <c r="D16" s="15">
        <f>Supuestos!$D$13*Supuestos!$D$5</f>
        <v>130000000</v>
      </c>
    </row>
    <row r="17" spans="2:7" x14ac:dyDescent="0.55000000000000004">
      <c r="B17" s="9" t="s">
        <v>52</v>
      </c>
      <c r="D17" s="15">
        <f>Supuestos!$D$14*Supuestos!$D$5</f>
        <v>169000000</v>
      </c>
    </row>
    <row r="19" spans="2:7" x14ac:dyDescent="0.55000000000000004">
      <c r="B19" s="76" t="s">
        <v>53</v>
      </c>
      <c r="C19" s="76"/>
      <c r="D19" s="76"/>
      <c r="E19" s="76"/>
      <c r="F19" s="76"/>
      <c r="G19" s="76"/>
    </row>
    <row r="20" spans="2:7" ht="15" customHeight="1" x14ac:dyDescent="0.55000000000000004">
      <c r="B20" s="9" t="s">
        <v>381</v>
      </c>
      <c r="D20" s="13">
        <v>0.4</v>
      </c>
      <c r="E20" s="77"/>
      <c r="F20" s="77"/>
      <c r="G20" s="77"/>
    </row>
    <row r="21" spans="2:7" x14ac:dyDescent="0.55000000000000004">
      <c r="B21" s="9" t="s">
        <v>382</v>
      </c>
      <c r="D21" s="13">
        <v>0.5</v>
      </c>
    </row>
    <row r="22" spans="2:7" x14ac:dyDescent="0.55000000000000004">
      <c r="B22" s="9" t="s">
        <v>383</v>
      </c>
      <c r="D22" s="13">
        <v>0.1</v>
      </c>
    </row>
    <row r="23" spans="2:7" x14ac:dyDescent="0.55000000000000004">
      <c r="B23" s="9" t="s">
        <v>54</v>
      </c>
      <c r="D23" s="16">
        <f>Supuestos!$D$20+Supuestos!$D$21+Supuestos!$D$22</f>
        <v>1</v>
      </c>
    </row>
    <row r="25" spans="2:7" x14ac:dyDescent="0.55000000000000004">
      <c r="B25" s="76" t="s">
        <v>55</v>
      </c>
      <c r="C25" s="76"/>
      <c r="D25" s="76"/>
      <c r="E25" s="76"/>
      <c r="F25" s="76"/>
      <c r="G25" s="76"/>
    </row>
    <row r="26" spans="2:7" ht="15" customHeight="1" x14ac:dyDescent="0.55000000000000004">
      <c r="B26" s="9" t="s">
        <v>56</v>
      </c>
      <c r="D26" s="17">
        <v>0.2802</v>
      </c>
      <c r="E26" s="1" t="s">
        <v>380</v>
      </c>
      <c r="F26" s="1"/>
      <c r="G26" s="1"/>
    </row>
    <row r="27" spans="2:7" x14ac:dyDescent="0.55000000000000004">
      <c r="B27" s="9" t="s">
        <v>57</v>
      </c>
      <c r="D27" s="17">
        <v>0.37690000000000001</v>
      </c>
    </row>
    <row r="28" spans="2:7" x14ac:dyDescent="0.55000000000000004">
      <c r="B28" s="9" t="s">
        <v>58</v>
      </c>
      <c r="D28" s="17">
        <v>0.47889999999999999</v>
      </c>
    </row>
    <row r="29" spans="2:7" x14ac:dyDescent="0.55000000000000004">
      <c r="B29" s="9" t="s">
        <v>59</v>
      </c>
      <c r="D29" s="18">
        <f>Supuestos!$D$26*Supuestos!$D$20+Supuestos!$D$27*Supuestos!$D$21+Supuestos!$D$28*Supuestos!$D$22</f>
        <v>0.34842000000000001</v>
      </c>
    </row>
    <row r="31" spans="2:7" x14ac:dyDescent="0.55000000000000004">
      <c r="B31" s="76" t="s">
        <v>60</v>
      </c>
      <c r="C31" s="76"/>
      <c r="D31" s="76"/>
      <c r="E31" s="76"/>
      <c r="F31" s="76"/>
      <c r="G31" s="76"/>
    </row>
    <row r="32" spans="2:7" ht="15" customHeight="1" x14ac:dyDescent="0.55000000000000004">
      <c r="B32" s="9" t="s">
        <v>61</v>
      </c>
      <c r="D32" s="17">
        <v>2.0999999999999999E-3</v>
      </c>
      <c r="E32" s="77" t="s">
        <v>384</v>
      </c>
      <c r="F32" s="77"/>
      <c r="G32" s="77"/>
    </row>
    <row r="33" spans="2:7" x14ac:dyDescent="0.55000000000000004">
      <c r="B33" s="9" t="s">
        <v>62</v>
      </c>
      <c r="D33" s="17">
        <v>3.0599999999999999E-2</v>
      </c>
    </row>
    <row r="34" spans="2:7" x14ac:dyDescent="0.55000000000000004">
      <c r="B34" s="9" t="s">
        <v>63</v>
      </c>
      <c r="D34" s="17">
        <v>0.21240000000000001</v>
      </c>
    </row>
    <row r="35" spans="2:7" x14ac:dyDescent="0.55000000000000004">
      <c r="B35" s="9" t="s">
        <v>64</v>
      </c>
      <c r="D35" s="18">
        <f>Supuestos!$D$32*Supuestos!$D$20+Supuestos!$D$33*Supuestos!$D$21+Supuestos!$D$34*Supuestos!$D$22</f>
        <v>3.7379999999999997E-2</v>
      </c>
    </row>
    <row r="36" spans="2:7" ht="15" customHeight="1" x14ac:dyDescent="0.55000000000000004">
      <c r="B36" s="9" t="s">
        <v>65</v>
      </c>
      <c r="D36" s="13">
        <v>0.45</v>
      </c>
      <c r="E36" s="77" t="s">
        <v>66</v>
      </c>
      <c r="F36" s="77"/>
      <c r="G36" s="77"/>
    </row>
    <row r="37" spans="2:7" x14ac:dyDescent="0.55000000000000004">
      <c r="B37" s="9" t="s">
        <v>67</v>
      </c>
      <c r="D37" s="18">
        <f>Supuestos!$D$35*Supuestos!$D$36</f>
        <v>1.6820999999999999E-2</v>
      </c>
    </row>
    <row r="39" spans="2:7" x14ac:dyDescent="0.55000000000000004">
      <c r="B39" s="76" t="s">
        <v>68</v>
      </c>
      <c r="C39" s="76"/>
      <c r="D39" s="76"/>
      <c r="E39" s="76"/>
      <c r="F39" s="76"/>
      <c r="G39" s="76"/>
    </row>
    <row r="40" spans="2:7" ht="15" customHeight="1" x14ac:dyDescent="0.55000000000000004">
      <c r="B40" s="9" t="s">
        <v>69</v>
      </c>
      <c r="D40" s="67">
        <v>6.9971000000000005E-2</v>
      </c>
      <c r="E40" s="77" t="s">
        <v>408</v>
      </c>
      <c r="F40" s="77"/>
      <c r="G40" s="77"/>
    </row>
    <row r="41" spans="2:7" ht="15" customHeight="1" x14ac:dyDescent="0.55000000000000004">
      <c r="B41" s="9" t="s">
        <v>70</v>
      </c>
      <c r="D41" s="17">
        <v>3.5000000000000003E-2</v>
      </c>
      <c r="E41" s="77" t="s">
        <v>409</v>
      </c>
      <c r="F41" s="77"/>
      <c r="G41" s="77"/>
    </row>
    <row r="42" spans="2:7" x14ac:dyDescent="0.55000000000000004">
      <c r="B42" s="9" t="s">
        <v>71</v>
      </c>
      <c r="D42" s="18">
        <f>Supuestos!$D$40+Supuestos!$D$41</f>
        <v>0.10497100000000001</v>
      </c>
    </row>
    <row r="43" spans="2:7" ht="15" customHeight="1" x14ac:dyDescent="0.55000000000000004">
      <c r="B43" s="9" t="s">
        <v>72</v>
      </c>
      <c r="D43" s="13">
        <v>0.85</v>
      </c>
      <c r="E43" s="77" t="s">
        <v>410</v>
      </c>
      <c r="F43" s="77"/>
      <c r="G43" s="77"/>
    </row>
    <row r="45" spans="2:7" x14ac:dyDescent="0.55000000000000004">
      <c r="B45" s="76" t="s">
        <v>73</v>
      </c>
      <c r="C45" s="76"/>
      <c r="D45" s="76"/>
      <c r="E45" s="76"/>
      <c r="F45" s="76"/>
      <c r="G45" s="76"/>
    </row>
    <row r="46" spans="2:7" ht="15" customHeight="1" x14ac:dyDescent="0.55000000000000004">
      <c r="B46" s="9" t="s">
        <v>74</v>
      </c>
      <c r="D46" s="10">
        <v>10000000</v>
      </c>
      <c r="E46" s="77" t="s">
        <v>385</v>
      </c>
      <c r="F46" s="77"/>
      <c r="G46" s="77"/>
    </row>
    <row r="47" spans="2:7" ht="15" customHeight="1" x14ac:dyDescent="0.55000000000000004">
      <c r="B47" s="9" t="s">
        <v>75</v>
      </c>
      <c r="D47" s="13">
        <v>0.105</v>
      </c>
      <c r="E47" s="77" t="s">
        <v>411</v>
      </c>
      <c r="F47" s="77"/>
      <c r="G47" s="77"/>
    </row>
    <row r="48" spans="2:7" ht="15" customHeight="1" x14ac:dyDescent="0.55000000000000004">
      <c r="B48" s="9" t="s">
        <v>76</v>
      </c>
      <c r="D48" s="13">
        <v>1</v>
      </c>
      <c r="E48" s="77" t="s">
        <v>412</v>
      </c>
      <c r="F48" s="77"/>
      <c r="G48" s="77"/>
    </row>
    <row r="49" spans="2:7" ht="15" customHeight="1" x14ac:dyDescent="0.55000000000000004">
      <c r="B49" s="9" t="s">
        <v>77</v>
      </c>
      <c r="D49" s="13">
        <v>0.18</v>
      </c>
      <c r="E49" s="77" t="s">
        <v>413</v>
      </c>
      <c r="F49" s="77"/>
      <c r="G49" s="77"/>
    </row>
    <row r="51" spans="2:7" x14ac:dyDescent="0.55000000000000004">
      <c r="B51" s="76" t="s">
        <v>78</v>
      </c>
      <c r="C51" s="76"/>
      <c r="D51" s="76"/>
      <c r="E51" s="76"/>
      <c r="F51" s="76"/>
      <c r="G51" s="76"/>
    </row>
    <row r="52" spans="2:7" ht="15" customHeight="1" x14ac:dyDescent="0.55000000000000004">
      <c r="B52" s="9" t="s">
        <v>79</v>
      </c>
      <c r="D52" s="10">
        <v>80000</v>
      </c>
      <c r="E52" s="77" t="s">
        <v>80</v>
      </c>
      <c r="F52" s="77"/>
      <c r="G52" s="77"/>
    </row>
    <row r="53" spans="2:7" x14ac:dyDescent="0.55000000000000004">
      <c r="B53" s="9" t="s">
        <v>81</v>
      </c>
      <c r="D53" s="10">
        <v>55000</v>
      </c>
    </row>
    <row r="54" spans="2:7" x14ac:dyDescent="0.55000000000000004">
      <c r="B54" s="9" t="s">
        <v>82</v>
      </c>
      <c r="D54" s="10">
        <v>55000</v>
      </c>
    </row>
    <row r="55" spans="2:7" ht="15" customHeight="1" x14ac:dyDescent="0.55000000000000004">
      <c r="B55" s="9" t="s">
        <v>83</v>
      </c>
      <c r="D55" s="10">
        <v>18000</v>
      </c>
      <c r="E55" s="77"/>
      <c r="F55" s="77"/>
      <c r="G55" s="77"/>
    </row>
    <row r="56" spans="2:7" x14ac:dyDescent="0.55000000000000004">
      <c r="B56" s="9" t="s">
        <v>84</v>
      </c>
      <c r="D56" s="10">
        <v>15000</v>
      </c>
    </row>
    <row r="57" spans="2:7" x14ac:dyDescent="0.55000000000000004">
      <c r="B57" s="9" t="s">
        <v>85</v>
      </c>
      <c r="D57" s="10">
        <v>25000</v>
      </c>
    </row>
    <row r="58" spans="2:7" x14ac:dyDescent="0.55000000000000004">
      <c r="B58" s="9" t="s">
        <v>86</v>
      </c>
      <c r="D58" s="10">
        <v>22000</v>
      </c>
    </row>
    <row r="59" spans="2:7" ht="15" customHeight="1" x14ac:dyDescent="0.55000000000000004">
      <c r="B59" s="9" t="s">
        <v>87</v>
      </c>
      <c r="D59" s="19">
        <v>1.35</v>
      </c>
      <c r="E59" s="77" t="s">
        <v>88</v>
      </c>
      <c r="F59" s="77"/>
      <c r="G59" s="77"/>
    </row>
    <row r="61" spans="2:7" x14ac:dyDescent="0.55000000000000004">
      <c r="B61" s="76" t="s">
        <v>89</v>
      </c>
      <c r="C61" s="76"/>
      <c r="D61" s="76"/>
      <c r="E61" s="76"/>
      <c r="F61" s="76"/>
      <c r="G61" s="76"/>
    </row>
    <row r="62" spans="2:7" ht="19.5" customHeight="1" x14ac:dyDescent="0.55000000000000004">
      <c r="D62" s="20" t="s">
        <v>90</v>
      </c>
      <c r="E62" s="20" t="s">
        <v>91</v>
      </c>
      <c r="F62" s="20" t="s">
        <v>92</v>
      </c>
    </row>
    <row r="63" spans="2:7" x14ac:dyDescent="0.55000000000000004">
      <c r="B63" s="2" t="s">
        <v>93</v>
      </c>
      <c r="D63" s="21">
        <v>1</v>
      </c>
      <c r="E63" s="21">
        <v>1</v>
      </c>
      <c r="F63" s="21">
        <v>1</v>
      </c>
    </row>
    <row r="64" spans="2:7" x14ac:dyDescent="0.55000000000000004">
      <c r="B64" s="2" t="s">
        <v>94</v>
      </c>
      <c r="D64" s="21">
        <v>1</v>
      </c>
      <c r="E64" s="21">
        <v>1</v>
      </c>
      <c r="F64" s="21">
        <v>1</v>
      </c>
    </row>
    <row r="65" spans="2:7" x14ac:dyDescent="0.55000000000000004">
      <c r="B65" s="2" t="s">
        <v>95</v>
      </c>
      <c r="D65" s="21">
        <v>1</v>
      </c>
      <c r="E65" s="21">
        <v>1</v>
      </c>
      <c r="F65" s="21">
        <v>1</v>
      </c>
    </row>
    <row r="66" spans="2:7" x14ac:dyDescent="0.55000000000000004">
      <c r="B66" s="2" t="s">
        <v>96</v>
      </c>
      <c r="D66" s="21">
        <v>2</v>
      </c>
      <c r="E66" s="21">
        <v>3</v>
      </c>
      <c r="F66" s="21">
        <v>4</v>
      </c>
    </row>
    <row r="67" spans="2:7" x14ac:dyDescent="0.55000000000000004">
      <c r="B67" s="2" t="s">
        <v>97</v>
      </c>
      <c r="D67" s="21">
        <v>1</v>
      </c>
      <c r="E67" s="21">
        <v>2</v>
      </c>
      <c r="F67" s="21">
        <v>3</v>
      </c>
    </row>
    <row r="68" spans="2:7" x14ac:dyDescent="0.55000000000000004">
      <c r="B68" s="2" t="s">
        <v>98</v>
      </c>
      <c r="D68" s="21">
        <v>1</v>
      </c>
      <c r="E68" s="21">
        <v>1</v>
      </c>
      <c r="F68" s="21">
        <v>1</v>
      </c>
    </row>
    <row r="69" spans="2:7" x14ac:dyDescent="0.55000000000000004">
      <c r="B69" s="2" t="s">
        <v>99</v>
      </c>
      <c r="D69" s="21">
        <v>1</v>
      </c>
      <c r="E69" s="21">
        <v>1</v>
      </c>
      <c r="F69" s="21">
        <v>2</v>
      </c>
    </row>
    <row r="70" spans="2:7" x14ac:dyDescent="0.55000000000000004">
      <c r="B70" s="22" t="s">
        <v>100</v>
      </c>
      <c r="D70" s="23">
        <f>Supuestos!$D$63+Supuestos!$D$64+Supuestos!$D$65+Supuestos!$D$66+Supuestos!$D$67+Supuestos!$D$68+Supuestos!$D$69</f>
        <v>8</v>
      </c>
      <c r="E70" s="23">
        <f>Supuestos!$E$63+Supuestos!$E$64+Supuestos!$E$65+Supuestos!$E$66+Supuestos!$E$67+Supuestos!$E$68+Supuestos!$E$69</f>
        <v>10</v>
      </c>
      <c r="F70" s="23">
        <f>Supuestos!$F$63+Supuestos!$F$64+Supuestos!$F$65+Supuestos!$F$66+Supuestos!$F$67+Supuestos!$F$68+Supuestos!$F$69</f>
        <v>13</v>
      </c>
    </row>
    <row r="72" spans="2:7" x14ac:dyDescent="0.55000000000000004">
      <c r="B72" s="76" t="s">
        <v>101</v>
      </c>
      <c r="C72" s="76"/>
      <c r="D72" s="76"/>
      <c r="E72" s="76"/>
      <c r="F72" s="76"/>
      <c r="G72" s="76"/>
    </row>
    <row r="73" spans="2:7" ht="18" customHeight="1" x14ac:dyDescent="0.55000000000000004">
      <c r="D73" s="20" t="s">
        <v>90</v>
      </c>
      <c r="E73" s="20" t="s">
        <v>91</v>
      </c>
      <c r="F73" s="20" t="s">
        <v>92</v>
      </c>
    </row>
    <row r="74" spans="2:7" x14ac:dyDescent="0.55000000000000004">
      <c r="B74" s="24" t="s">
        <v>102</v>
      </c>
      <c r="D74" s="25">
        <f>Supuestos!$D$52*Supuestos!$D$63*12*Supuestos!$D$59</f>
        <v>1296000</v>
      </c>
      <c r="E74" s="25">
        <f>Supuestos!$D$52*Supuestos!$E$63*12*Supuestos!$D$59</f>
        <v>1296000</v>
      </c>
      <c r="F74" s="25">
        <f>Supuestos!$D$52*Supuestos!$F$63*12*Supuestos!$D$59</f>
        <v>1296000</v>
      </c>
    </row>
    <row r="75" spans="2:7" x14ac:dyDescent="0.55000000000000004">
      <c r="B75" s="24" t="s">
        <v>103</v>
      </c>
      <c r="D75" s="25">
        <f>Supuestos!$D$53*Supuestos!$D$64*12*Supuestos!$D$59</f>
        <v>891000.00000000012</v>
      </c>
      <c r="E75" s="25">
        <f>Supuestos!$D$53*Supuestos!$E$64*12*Supuestos!$D$59</f>
        <v>891000.00000000012</v>
      </c>
      <c r="F75" s="25">
        <f>Supuestos!$D$53*Supuestos!$F$64*12*Supuestos!$D$59</f>
        <v>891000.00000000012</v>
      </c>
    </row>
    <row r="76" spans="2:7" x14ac:dyDescent="0.55000000000000004">
      <c r="B76" s="24" t="s">
        <v>104</v>
      </c>
      <c r="D76" s="25">
        <f>Supuestos!$D$54*Supuestos!$D$65*12*Supuestos!$D$59</f>
        <v>891000.00000000012</v>
      </c>
      <c r="E76" s="25">
        <f>Supuestos!$D$54*Supuestos!$E$65*12*Supuestos!$D$59</f>
        <v>891000.00000000012</v>
      </c>
      <c r="F76" s="25">
        <f>Supuestos!$D$54*Supuestos!$F$65*12*Supuestos!$D$59</f>
        <v>891000.00000000012</v>
      </c>
    </row>
    <row r="77" spans="2:7" x14ac:dyDescent="0.55000000000000004">
      <c r="B77" s="24" t="s">
        <v>105</v>
      </c>
      <c r="D77" s="25">
        <f>Supuestos!$D$55*Supuestos!$D$66*12*Supuestos!$D$59</f>
        <v>583200</v>
      </c>
      <c r="E77" s="25">
        <f>Supuestos!$D$55*Supuestos!$E$66*12*Supuestos!$D$59</f>
        <v>874800</v>
      </c>
      <c r="F77" s="25">
        <f>Supuestos!$D$55*Supuestos!$F$66*12*Supuestos!$D$59</f>
        <v>1166400</v>
      </c>
    </row>
    <row r="78" spans="2:7" x14ac:dyDescent="0.55000000000000004">
      <c r="B78" s="24" t="s">
        <v>106</v>
      </c>
      <c r="D78" s="25">
        <f>Supuestos!$D$56*Supuestos!$D$67*12*Supuestos!$D$59</f>
        <v>243000.00000000003</v>
      </c>
      <c r="E78" s="25">
        <f>Supuestos!$D$56*Supuestos!$E$67*12*Supuestos!$D$59</f>
        <v>486000.00000000006</v>
      </c>
      <c r="F78" s="25">
        <f>Supuestos!$D$56*Supuestos!$F$67*12*Supuestos!$D$59</f>
        <v>729000</v>
      </c>
    </row>
    <row r="79" spans="2:7" x14ac:dyDescent="0.55000000000000004">
      <c r="B79" s="24" t="s">
        <v>107</v>
      </c>
      <c r="D79" s="25">
        <f>Supuestos!$D$57*Supuestos!$D$68*12*Supuestos!$D$59</f>
        <v>405000</v>
      </c>
      <c r="E79" s="25">
        <f>Supuestos!$D$57*Supuestos!$E$68*12*Supuestos!$D$59</f>
        <v>405000</v>
      </c>
      <c r="F79" s="25">
        <f>Supuestos!$D$57*Supuestos!$F$68*12*Supuestos!$D$59</f>
        <v>405000</v>
      </c>
    </row>
    <row r="80" spans="2:7" x14ac:dyDescent="0.55000000000000004">
      <c r="B80" s="24" t="s">
        <v>108</v>
      </c>
      <c r="D80" s="25">
        <f>Supuestos!$D$58*Supuestos!$D$69*12*Supuestos!$D$59</f>
        <v>356400</v>
      </c>
      <c r="E80" s="25">
        <f>Supuestos!$D$58*Supuestos!$E$69*12*Supuestos!$D$59</f>
        <v>356400</v>
      </c>
      <c r="F80" s="25">
        <f>Supuestos!$D$58*Supuestos!$F$69*12*Supuestos!$D$59</f>
        <v>712800</v>
      </c>
    </row>
    <row r="81" spans="2:7" x14ac:dyDescent="0.55000000000000004">
      <c r="B81" s="22" t="s">
        <v>109</v>
      </c>
      <c r="D81" s="26">
        <f>Supuestos!$D$74+Supuestos!$D$75+Supuestos!$D$76+Supuestos!$D$77+Supuestos!$D$78+Supuestos!$D$79+Supuestos!$D$80</f>
        <v>4665600</v>
      </c>
      <c r="E81" s="26">
        <f>Supuestos!$E$74+Supuestos!$E$75+Supuestos!$E$76+Supuestos!$E$77+Supuestos!$E$78+Supuestos!$E$79+Supuestos!$E$80</f>
        <v>5200200</v>
      </c>
      <c r="F81" s="26">
        <f>Supuestos!$F$74+Supuestos!$F$75+Supuestos!$F$76+Supuestos!$F$77+Supuestos!$F$78+Supuestos!$F$79+Supuestos!$F$80</f>
        <v>6091200</v>
      </c>
    </row>
    <row r="83" spans="2:7" x14ac:dyDescent="0.55000000000000004">
      <c r="B83" s="76" t="s">
        <v>110</v>
      </c>
      <c r="C83" s="76"/>
      <c r="D83" s="76"/>
      <c r="E83" s="76"/>
      <c r="F83" s="76"/>
      <c r="G83" s="76"/>
    </row>
    <row r="84" spans="2:7" ht="15" customHeight="1" x14ac:dyDescent="0.55000000000000004">
      <c r="B84" s="9" t="s">
        <v>111</v>
      </c>
      <c r="D84" s="10">
        <v>8000</v>
      </c>
      <c r="E84" s="77" t="s">
        <v>414</v>
      </c>
      <c r="F84" s="77"/>
      <c r="G84" s="77"/>
    </row>
    <row r="85" spans="2:7" ht="15" customHeight="1" x14ac:dyDescent="0.55000000000000004">
      <c r="B85" s="9" t="s">
        <v>112</v>
      </c>
      <c r="D85" s="10">
        <v>25000</v>
      </c>
      <c r="E85" s="77" t="s">
        <v>415</v>
      </c>
      <c r="F85" s="77"/>
      <c r="G85" s="77"/>
    </row>
    <row r="86" spans="2:7" x14ac:dyDescent="0.55000000000000004">
      <c r="B86" s="9" t="s">
        <v>416</v>
      </c>
      <c r="D86" s="10">
        <v>10000</v>
      </c>
    </row>
    <row r="87" spans="2:7" x14ac:dyDescent="0.55000000000000004">
      <c r="B87" s="9" t="s">
        <v>417</v>
      </c>
      <c r="D87" s="10">
        <v>3000</v>
      </c>
    </row>
    <row r="88" spans="2:7" x14ac:dyDescent="0.55000000000000004">
      <c r="B88" s="9" t="s">
        <v>418</v>
      </c>
      <c r="D88" s="10">
        <v>35000</v>
      </c>
    </row>
    <row r="89" spans="2:7" ht="15" customHeight="1" x14ac:dyDescent="0.55000000000000004">
      <c r="B89" s="9" t="s">
        <v>113</v>
      </c>
      <c r="D89" s="10">
        <v>50</v>
      </c>
      <c r="E89" s="77"/>
      <c r="F89" s="77"/>
      <c r="G89" s="77"/>
    </row>
    <row r="90" spans="2:7" ht="15" customHeight="1" x14ac:dyDescent="0.55000000000000004">
      <c r="B90" s="9" t="s">
        <v>114</v>
      </c>
      <c r="D90" s="27">
        <v>2.5</v>
      </c>
      <c r="E90" s="77" t="s">
        <v>386</v>
      </c>
      <c r="F90" s="77"/>
      <c r="G90" s="77"/>
    </row>
    <row r="92" spans="2:7" x14ac:dyDescent="0.55000000000000004">
      <c r="B92" s="9" t="s">
        <v>115</v>
      </c>
      <c r="D92" s="15">
        <f>(Supuestos!$D$84+Supuestos!$D$85+Supuestos!$D$86+Supuestos!$D$87+Supuestos!$D$88)*12</f>
        <v>972000</v>
      </c>
    </row>
    <row r="94" spans="2:7" x14ac:dyDescent="0.55000000000000004">
      <c r="B94" s="76" t="s">
        <v>116</v>
      </c>
      <c r="C94" s="76"/>
      <c r="D94" s="76"/>
      <c r="E94" s="76"/>
      <c r="F94" s="76"/>
      <c r="G94" s="76"/>
    </row>
    <row r="95" spans="2:7" ht="15" customHeight="1" x14ac:dyDescent="0.55000000000000004">
      <c r="B95" s="9" t="s">
        <v>117</v>
      </c>
      <c r="D95" s="17">
        <v>1.4999999999999999E-2</v>
      </c>
      <c r="E95" s="77" t="s">
        <v>419</v>
      </c>
      <c r="F95" s="77"/>
      <c r="G95" s="77"/>
    </row>
    <row r="96" spans="2:7" ht="15" customHeight="1" x14ac:dyDescent="0.55000000000000004">
      <c r="B96" s="9" t="s">
        <v>118</v>
      </c>
      <c r="D96" s="13">
        <v>0.9</v>
      </c>
      <c r="E96" s="77" t="s">
        <v>420</v>
      </c>
      <c r="F96" s="77"/>
      <c r="G96" s="77"/>
    </row>
    <row r="97" spans="2:7" ht="15" customHeight="1" x14ac:dyDescent="0.55000000000000004">
      <c r="B97" s="9" t="s">
        <v>119</v>
      </c>
      <c r="D97" s="13">
        <v>0.85</v>
      </c>
      <c r="E97" s="77"/>
      <c r="F97" s="77"/>
      <c r="G97" s="77"/>
    </row>
    <row r="98" spans="2:7" x14ac:dyDescent="0.55000000000000004">
      <c r="B98" s="9" t="s">
        <v>120</v>
      </c>
      <c r="D98" s="15">
        <f>Supuestos!$D$95*Supuestos!$D$5</f>
        <v>3000</v>
      </c>
    </row>
    <row r="99" spans="2:7" x14ac:dyDescent="0.55000000000000004">
      <c r="B99" s="9" t="s">
        <v>121</v>
      </c>
      <c r="D99" s="15">
        <f>Supuestos!$D$98*Supuestos!$D$96</f>
        <v>2700</v>
      </c>
    </row>
    <row r="100" spans="2:7" x14ac:dyDescent="0.55000000000000004">
      <c r="B100" s="9" t="s">
        <v>122</v>
      </c>
      <c r="D100" s="15">
        <f>Supuestos!$D$99*Supuestos!$D$97</f>
        <v>2295</v>
      </c>
    </row>
    <row r="101" spans="2:7" x14ac:dyDescent="0.55000000000000004">
      <c r="B101" s="9" t="s">
        <v>123</v>
      </c>
      <c r="D101" s="15">
        <f>Supuestos!$D$98*Supuestos!$D$10</f>
        <v>1500000</v>
      </c>
    </row>
    <row r="102" spans="2:7" x14ac:dyDescent="0.55000000000000004">
      <c r="B102" s="9" t="s">
        <v>124</v>
      </c>
      <c r="D102" s="15">
        <f>Supuestos!$D$99*Supuestos!$D$13</f>
        <v>1755000</v>
      </c>
    </row>
    <row r="103" spans="2:7" x14ac:dyDescent="0.55000000000000004">
      <c r="B103" s="9" t="s">
        <v>125</v>
      </c>
      <c r="D103" s="15">
        <f>Supuestos!$D$100*Supuestos!$D$14</f>
        <v>1939275</v>
      </c>
    </row>
    <row r="105" spans="2:7" x14ac:dyDescent="0.55000000000000004">
      <c r="B105" s="76" t="s">
        <v>126</v>
      </c>
      <c r="C105" s="76"/>
      <c r="D105" s="76"/>
      <c r="E105" s="76"/>
      <c r="F105" s="76"/>
      <c r="G105" s="76"/>
    </row>
    <row r="106" spans="2:7" ht="15" customHeight="1" x14ac:dyDescent="0.55000000000000004">
      <c r="B106" s="9" t="s">
        <v>127</v>
      </c>
      <c r="D106" s="13">
        <v>0.92</v>
      </c>
      <c r="E106" s="77" t="s">
        <v>421</v>
      </c>
      <c r="F106" s="77"/>
      <c r="G106" s="77"/>
    </row>
    <row r="107" spans="2:7" ht="15" customHeight="1" x14ac:dyDescent="0.55000000000000004">
      <c r="B107" s="9" t="s">
        <v>128</v>
      </c>
      <c r="D107" s="13">
        <v>0.05</v>
      </c>
      <c r="E107" s="77" t="s">
        <v>423</v>
      </c>
      <c r="F107" s="77"/>
      <c r="G107" s="77"/>
    </row>
    <row r="108" spans="2:7" ht="15" customHeight="1" x14ac:dyDescent="0.55000000000000004">
      <c r="B108" s="9" t="s">
        <v>129</v>
      </c>
      <c r="D108" s="13">
        <v>0.03</v>
      </c>
      <c r="E108" s="77" t="s">
        <v>422</v>
      </c>
      <c r="F108" s="77"/>
      <c r="G108" s="77"/>
    </row>
    <row r="109" spans="2:7" x14ac:dyDescent="0.55000000000000004">
      <c r="B109" s="9" t="s">
        <v>130</v>
      </c>
      <c r="D109" s="16">
        <f>Supuestos!$D$106+Supuestos!$D$107+Supuestos!$D$108</f>
        <v>1</v>
      </c>
    </row>
    <row r="110" spans="2:7" x14ac:dyDescent="0.55000000000000004">
      <c r="B110" s="9" t="s">
        <v>131</v>
      </c>
      <c r="D110" s="18">
        <f>Supuestos!$D$35*Supuestos!$D$36</f>
        <v>1.6820999999999999E-2</v>
      </c>
    </row>
    <row r="111" spans="2:7" ht="15" customHeight="1" x14ac:dyDescent="0.55000000000000004">
      <c r="B111" s="9" t="s">
        <v>132</v>
      </c>
      <c r="D111" s="13">
        <v>0.2</v>
      </c>
      <c r="E111" s="77" t="s">
        <v>424</v>
      </c>
      <c r="F111" s="77"/>
      <c r="G111" s="77"/>
    </row>
    <row r="112" spans="2:7" ht="15" customHeight="1" x14ac:dyDescent="0.55000000000000004">
      <c r="B112" s="9" t="s">
        <v>133</v>
      </c>
      <c r="D112" s="13">
        <v>0.45</v>
      </c>
      <c r="E112" s="77" t="s">
        <v>387</v>
      </c>
      <c r="F112" s="77"/>
      <c r="G112" s="77"/>
    </row>
    <row r="113" spans="2:7" x14ac:dyDescent="0.55000000000000004">
      <c r="B113" s="9" t="s">
        <v>134</v>
      </c>
      <c r="D113" s="18">
        <f>Supuestos!$D$106*Supuestos!$D$110+Supuestos!$D$107*Supuestos!$D$111+Supuestos!$D$108*Supuestos!$D$112</f>
        <v>3.8975320000000001E-2</v>
      </c>
    </row>
    <row r="114" spans="2:7" ht="15" customHeight="1" x14ac:dyDescent="0.55000000000000004">
      <c r="B114" s="9" t="s">
        <v>388</v>
      </c>
      <c r="D114" s="28">
        <v>180</v>
      </c>
      <c r="E114" s="77" t="s">
        <v>425</v>
      </c>
      <c r="F114" s="77"/>
      <c r="G114" s="77"/>
    </row>
    <row r="115" spans="2:7" ht="15" customHeight="1" x14ac:dyDescent="0.55000000000000004">
      <c r="B115" s="9" t="s">
        <v>135</v>
      </c>
      <c r="D115" s="17">
        <v>2.5000000000000001E-2</v>
      </c>
      <c r="E115" s="77" t="s">
        <v>426</v>
      </c>
      <c r="F115" s="77"/>
      <c r="G115" s="77"/>
    </row>
    <row r="117" spans="2:7" x14ac:dyDescent="0.55000000000000004">
      <c r="B117" s="76" t="s">
        <v>136</v>
      </c>
      <c r="C117" s="76"/>
      <c r="D117" s="76"/>
      <c r="E117" s="76"/>
      <c r="F117" s="76"/>
      <c r="G117" s="76"/>
    </row>
    <row r="118" spans="2:7" ht="15" customHeight="1" x14ac:dyDescent="0.55000000000000004">
      <c r="B118" s="9" t="s">
        <v>137</v>
      </c>
      <c r="D118" s="13">
        <v>8.5000000000000006E-2</v>
      </c>
      <c r="E118" s="77"/>
      <c r="F118" s="77"/>
      <c r="G118" s="77"/>
    </row>
    <row r="119" spans="2:7" ht="15" customHeight="1" x14ac:dyDescent="0.55000000000000004">
      <c r="B119" s="9" t="s">
        <v>138</v>
      </c>
      <c r="D119" s="13">
        <v>0.05</v>
      </c>
      <c r="E119" s="77" t="s">
        <v>427</v>
      </c>
      <c r="F119" s="77"/>
      <c r="G119" s="77"/>
    </row>
    <row r="121" spans="2:7" x14ac:dyDescent="0.55000000000000004">
      <c r="B121" s="76" t="s">
        <v>139</v>
      </c>
      <c r="C121" s="76"/>
      <c r="D121" s="76"/>
      <c r="E121" s="76"/>
      <c r="F121" s="76"/>
      <c r="G121" s="76"/>
    </row>
    <row r="122" spans="2:7" ht="15" customHeight="1" x14ac:dyDescent="0.55000000000000004">
      <c r="B122" s="9" t="s">
        <v>140</v>
      </c>
      <c r="D122" s="13">
        <v>0.3</v>
      </c>
      <c r="E122" s="77" t="s">
        <v>429</v>
      </c>
      <c r="F122" s="77"/>
      <c r="G122" s="77"/>
    </row>
    <row r="123" spans="2:7" ht="15" customHeight="1" x14ac:dyDescent="0.55000000000000004">
      <c r="B123" s="9" t="s">
        <v>141</v>
      </c>
      <c r="D123" s="13">
        <v>0.1</v>
      </c>
      <c r="E123" s="77" t="s">
        <v>428</v>
      </c>
      <c r="F123" s="77"/>
      <c r="G123" s="77"/>
    </row>
    <row r="125" spans="2:7" x14ac:dyDescent="0.55000000000000004">
      <c r="B125" s="76" t="s">
        <v>142</v>
      </c>
      <c r="C125" s="76"/>
      <c r="D125" s="76"/>
      <c r="E125" s="76"/>
      <c r="F125" s="76"/>
      <c r="G125" s="76"/>
    </row>
    <row r="126" spans="2:7" ht="15" customHeight="1" x14ac:dyDescent="0.55000000000000004">
      <c r="B126" s="9" t="s">
        <v>143</v>
      </c>
      <c r="D126" s="13">
        <v>0.04</v>
      </c>
      <c r="E126" s="77" t="s">
        <v>389</v>
      </c>
      <c r="F126" s="77"/>
      <c r="G126" s="77"/>
    </row>
    <row r="128" spans="2:7" x14ac:dyDescent="0.55000000000000004">
      <c r="B128" s="76" t="s">
        <v>144</v>
      </c>
      <c r="C128" s="76"/>
      <c r="D128" s="76"/>
      <c r="E128" s="76"/>
      <c r="F128" s="76"/>
      <c r="G128" s="76"/>
    </row>
    <row r="129" spans="2:7" ht="15" customHeight="1" x14ac:dyDescent="0.55000000000000004">
      <c r="B129" s="9" t="s">
        <v>145</v>
      </c>
      <c r="D129" s="17">
        <v>0.35</v>
      </c>
      <c r="E129" s="77" t="s">
        <v>390</v>
      </c>
      <c r="F129" s="77"/>
      <c r="G129" s="77"/>
    </row>
    <row r="130" spans="2:7" ht="15" customHeight="1" x14ac:dyDescent="0.55000000000000004">
      <c r="B130" s="9" t="s">
        <v>146</v>
      </c>
      <c r="D130" s="13">
        <v>0.03</v>
      </c>
      <c r="E130" s="77" t="s">
        <v>147</v>
      </c>
      <c r="F130" s="77"/>
      <c r="G130" s="77"/>
    </row>
    <row r="131" spans="2:7" x14ac:dyDescent="0.55000000000000004">
      <c r="B131" s="9" t="s">
        <v>148</v>
      </c>
      <c r="D131" s="18">
        <f>Supuestos!$D$129-Supuestos!$D$130</f>
        <v>0.31999999999999995</v>
      </c>
    </row>
    <row r="132" spans="2:7" ht="15" customHeight="1" x14ac:dyDescent="0.55000000000000004">
      <c r="B132" s="9" t="s">
        <v>149</v>
      </c>
      <c r="D132" s="27">
        <v>5</v>
      </c>
      <c r="E132" s="77" t="s">
        <v>150</v>
      </c>
      <c r="F132" s="77"/>
      <c r="G132" s="77"/>
    </row>
    <row r="137" spans="2:7" x14ac:dyDescent="0.55000000000000004">
      <c r="B137" s="76" t="s">
        <v>430</v>
      </c>
      <c r="C137" s="76"/>
      <c r="D137" s="76"/>
      <c r="E137" s="76"/>
      <c r="F137" s="76"/>
      <c r="G137" s="76"/>
    </row>
    <row r="138" spans="2:7" x14ac:dyDescent="0.55000000000000004">
      <c r="B138" t="s">
        <v>431</v>
      </c>
    </row>
    <row r="140" spans="2:7" x14ac:dyDescent="0.55000000000000004">
      <c r="B140" t="s">
        <v>432</v>
      </c>
    </row>
    <row r="142" spans="2:7" x14ac:dyDescent="0.55000000000000004">
      <c r="B142" t="s">
        <v>433</v>
      </c>
    </row>
    <row r="144" spans="2:7" x14ac:dyDescent="0.55000000000000004">
      <c r="B144" t="s">
        <v>434</v>
      </c>
    </row>
    <row r="146" spans="2:2" x14ac:dyDescent="0.55000000000000004">
      <c r="B146" t="s">
        <v>435</v>
      </c>
    </row>
    <row r="148" spans="2:2" x14ac:dyDescent="0.55000000000000004">
      <c r="B148" t="s">
        <v>436</v>
      </c>
    </row>
    <row r="150" spans="2:2" x14ac:dyDescent="0.55000000000000004">
      <c r="B150" t="s">
        <v>437</v>
      </c>
    </row>
    <row r="152" spans="2:2" x14ac:dyDescent="0.55000000000000004">
      <c r="B152" t="s">
        <v>438</v>
      </c>
    </row>
    <row r="154" spans="2:2" x14ac:dyDescent="0.55000000000000004">
      <c r="B154" t="s">
        <v>439</v>
      </c>
    </row>
    <row r="156" spans="2:2" x14ac:dyDescent="0.55000000000000004">
      <c r="B156" t="s">
        <v>440</v>
      </c>
    </row>
    <row r="158" spans="2:2" x14ac:dyDescent="0.55000000000000004">
      <c r="B158" t="s">
        <v>441</v>
      </c>
    </row>
    <row r="160" spans="2:2" x14ac:dyDescent="0.55000000000000004">
      <c r="B160" t="s">
        <v>442</v>
      </c>
    </row>
    <row r="162" spans="2:2" x14ac:dyDescent="0.55000000000000004">
      <c r="B162" t="s">
        <v>443</v>
      </c>
    </row>
    <row r="164" spans="2:2" x14ac:dyDescent="0.55000000000000004">
      <c r="B164" t="s">
        <v>444</v>
      </c>
    </row>
    <row r="166" spans="2:2" x14ac:dyDescent="0.55000000000000004">
      <c r="B166" t="s">
        <v>445</v>
      </c>
    </row>
    <row r="168" spans="2:2" x14ac:dyDescent="0.55000000000000004">
      <c r="B168" t="s">
        <v>446</v>
      </c>
    </row>
    <row r="170" spans="2:2" x14ac:dyDescent="0.55000000000000004">
      <c r="B170" t="s">
        <v>447</v>
      </c>
    </row>
    <row r="172" spans="2:2" x14ac:dyDescent="0.55000000000000004">
      <c r="B172" t="s">
        <v>448</v>
      </c>
    </row>
  </sheetData>
  <mergeCells count="59">
    <mergeCell ref="B137:G137"/>
    <mergeCell ref="E129:G129"/>
    <mergeCell ref="E130:G130"/>
    <mergeCell ref="E132:G132"/>
    <mergeCell ref="E12:G12"/>
    <mergeCell ref="E96:G96"/>
    <mergeCell ref="E122:G122"/>
    <mergeCell ref="E123:G123"/>
    <mergeCell ref="B125:G125"/>
    <mergeCell ref="E126:G126"/>
    <mergeCell ref="B128:G128"/>
    <mergeCell ref="E115:G115"/>
    <mergeCell ref="B117:G117"/>
    <mergeCell ref="E118:G118"/>
    <mergeCell ref="E119:G119"/>
    <mergeCell ref="B121:G121"/>
    <mergeCell ref="E107:G107"/>
    <mergeCell ref="E108:G108"/>
    <mergeCell ref="E111:G111"/>
    <mergeCell ref="E112:G112"/>
    <mergeCell ref="E114:G114"/>
    <mergeCell ref="E95:G95"/>
    <mergeCell ref="E97:G97"/>
    <mergeCell ref="B105:G105"/>
    <mergeCell ref="E106:G106"/>
    <mergeCell ref="E84:G84"/>
    <mergeCell ref="E85:G85"/>
    <mergeCell ref="E89:G89"/>
    <mergeCell ref="E90:G90"/>
    <mergeCell ref="B94:G94"/>
    <mergeCell ref="E55:G55"/>
    <mergeCell ref="E59:G59"/>
    <mergeCell ref="B61:G61"/>
    <mergeCell ref="B72:G72"/>
    <mergeCell ref="B83:G83"/>
    <mergeCell ref="E47:G47"/>
    <mergeCell ref="E48:G48"/>
    <mergeCell ref="E49:G49"/>
    <mergeCell ref="B51:G51"/>
    <mergeCell ref="E52:G52"/>
    <mergeCell ref="E40:G40"/>
    <mergeCell ref="E41:G41"/>
    <mergeCell ref="E43:G43"/>
    <mergeCell ref="B45:G45"/>
    <mergeCell ref="E46:G46"/>
    <mergeCell ref="B31:G31"/>
    <mergeCell ref="E32:G32"/>
    <mergeCell ref="E36:G36"/>
    <mergeCell ref="B39:G39"/>
    <mergeCell ref="E10:G10"/>
    <mergeCell ref="E11:G11"/>
    <mergeCell ref="B19:G19"/>
    <mergeCell ref="E20:G20"/>
    <mergeCell ref="B25:G25"/>
    <mergeCell ref="B2:G2"/>
    <mergeCell ref="B4:G4"/>
    <mergeCell ref="E5:G5"/>
    <mergeCell ref="E6:G6"/>
    <mergeCell ref="B9:G9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36"/>
  <sheetViews>
    <sheetView showGridLines="0" topLeftCell="A16" zoomScaleNormal="100" workbookViewId="0">
      <selection activeCell="B10" sqref="B10"/>
    </sheetView>
  </sheetViews>
  <sheetFormatPr baseColWidth="10" defaultColWidth="8.68359375" defaultRowHeight="14.4" x14ac:dyDescent="0.55000000000000004"/>
  <cols>
    <col min="1" max="1" width="2" customWidth="1"/>
    <col min="2" max="2" width="38" customWidth="1"/>
    <col min="3" max="8" width="16" customWidth="1"/>
  </cols>
  <sheetData>
    <row r="2" spans="2:7" ht="21.75" customHeight="1" x14ac:dyDescent="0.55000000000000004">
      <c r="B2" s="72" t="s">
        <v>151</v>
      </c>
      <c r="C2" s="72"/>
      <c r="D2" s="72"/>
      <c r="E2" s="72"/>
      <c r="F2" s="72"/>
      <c r="G2" s="72"/>
    </row>
    <row r="4" spans="2:7" ht="19.5" customHeight="1" x14ac:dyDescent="0.55000000000000004">
      <c r="D4" s="29" t="s">
        <v>90</v>
      </c>
      <c r="E4" s="29" t="s">
        <v>91</v>
      </c>
      <c r="F4" s="29" t="s">
        <v>92</v>
      </c>
      <c r="G4" s="29" t="s">
        <v>152</v>
      </c>
    </row>
    <row r="5" spans="2:7" x14ac:dyDescent="0.55000000000000004">
      <c r="B5" s="30" t="s">
        <v>392</v>
      </c>
      <c r="D5" s="31">
        <f>Supuestos!$D$10</f>
        <v>500</v>
      </c>
      <c r="E5" s="31">
        <f>Supuestos!$D$13</f>
        <v>650</v>
      </c>
      <c r="F5" s="31">
        <f>Supuestos!$D$14</f>
        <v>845</v>
      </c>
      <c r="G5" s="32">
        <f>SUM(D5:F5)</f>
        <v>1995</v>
      </c>
    </row>
    <row r="6" spans="2:7" x14ac:dyDescent="0.55000000000000004">
      <c r="B6" s="33" t="s">
        <v>153</v>
      </c>
      <c r="D6" s="34">
        <f>Supuestos!$D$5</f>
        <v>200000</v>
      </c>
      <c r="E6" s="34">
        <f>Supuestos!$D$5</f>
        <v>200000</v>
      </c>
      <c r="F6" s="34">
        <f>Supuestos!$D$5</f>
        <v>200000</v>
      </c>
    </row>
    <row r="7" spans="2:7" x14ac:dyDescent="0.55000000000000004">
      <c r="B7" s="30" t="s">
        <v>154</v>
      </c>
      <c r="D7" s="35">
        <f>D5*D6</f>
        <v>100000000</v>
      </c>
      <c r="E7" s="35">
        <f>E5*E6</f>
        <v>130000000</v>
      </c>
      <c r="F7" s="35">
        <f>F5*F6</f>
        <v>169000000</v>
      </c>
      <c r="G7" s="35">
        <f>SUM(D7:F7)</f>
        <v>399000000</v>
      </c>
    </row>
    <row r="9" spans="2:7" x14ac:dyDescent="0.55000000000000004">
      <c r="B9" s="76" t="s">
        <v>155</v>
      </c>
      <c r="C9" s="76"/>
      <c r="D9" s="76"/>
      <c r="E9" s="76"/>
      <c r="F9" s="76"/>
      <c r="G9" s="76"/>
    </row>
    <row r="10" spans="2:7" ht="18" customHeight="1" x14ac:dyDescent="0.55000000000000004">
      <c r="D10" s="29" t="s">
        <v>90</v>
      </c>
      <c r="E10" s="29" t="s">
        <v>91</v>
      </c>
      <c r="F10" s="29" t="s">
        <v>92</v>
      </c>
    </row>
    <row r="11" spans="2:7" x14ac:dyDescent="0.55000000000000004">
      <c r="B11" s="36" t="s">
        <v>156</v>
      </c>
      <c r="D11" s="37">
        <f>ROUND(Supuestos!$D$10*Supuestos!$D$20,0)</f>
        <v>200</v>
      </c>
      <c r="E11" s="37">
        <f>ROUND(Supuestos!$D$13*Supuestos!$D$20,0)</f>
        <v>260</v>
      </c>
      <c r="F11" s="37">
        <f>ROUND(Supuestos!$D$14*Supuestos!$D$20,0)</f>
        <v>338</v>
      </c>
    </row>
    <row r="12" spans="2:7" x14ac:dyDescent="0.55000000000000004">
      <c r="B12" s="36" t="s">
        <v>157</v>
      </c>
      <c r="D12" s="37">
        <f>ROUND(Supuestos!$D$10*Supuestos!$D$21,0)</f>
        <v>250</v>
      </c>
      <c r="E12" s="37">
        <f>ROUND(Supuestos!$D$13*Supuestos!$D$21,0)</f>
        <v>325</v>
      </c>
      <c r="F12" s="37">
        <f>ROUND(Supuestos!$D$14*Supuestos!$D$21,0)</f>
        <v>423</v>
      </c>
    </row>
    <row r="13" spans="2:7" x14ac:dyDescent="0.55000000000000004">
      <c r="B13" s="36" t="s">
        <v>158</v>
      </c>
      <c r="D13" s="37">
        <f>ROUND(Supuestos!$D$10*Supuestos!$D$22,0)</f>
        <v>50</v>
      </c>
      <c r="E13" s="37">
        <f>ROUND(Supuestos!$D$13*Supuestos!$D$22,0)</f>
        <v>65</v>
      </c>
      <c r="F13" s="37">
        <f>ROUND(Supuestos!$D$14*Supuestos!$D$22,0)</f>
        <v>85</v>
      </c>
    </row>
    <row r="14" spans="2:7" x14ac:dyDescent="0.55000000000000004">
      <c r="B14" s="38" t="s">
        <v>391</v>
      </c>
      <c r="D14" s="23">
        <f>SUM(D11:D13)</f>
        <v>500</v>
      </c>
      <c r="E14" s="23">
        <f>SUM(E11:E13)</f>
        <v>650</v>
      </c>
      <c r="F14" s="23">
        <f>SUM(F11:F13)</f>
        <v>846</v>
      </c>
    </row>
    <row r="16" spans="2:7" x14ac:dyDescent="0.55000000000000004">
      <c r="B16" s="76" t="s">
        <v>159</v>
      </c>
      <c r="C16" s="76"/>
      <c r="D16" s="76"/>
      <c r="E16" s="76"/>
      <c r="F16" s="76"/>
      <c r="G16" s="76"/>
    </row>
    <row r="17" spans="2:7" x14ac:dyDescent="0.55000000000000004">
      <c r="D17" s="29" t="s">
        <v>90</v>
      </c>
      <c r="E17" s="29" t="s">
        <v>91</v>
      </c>
      <c r="F17" s="29" t="s">
        <v>92</v>
      </c>
    </row>
    <row r="18" spans="2:7" x14ac:dyDescent="0.55000000000000004">
      <c r="B18" s="36" t="s">
        <v>160</v>
      </c>
      <c r="D18" s="25">
        <f>Supuestos!$D$10*Supuestos!$D$20*Supuestos!$D$5</f>
        <v>40000000</v>
      </c>
      <c r="E18" s="25">
        <f>Supuestos!$D$13*Supuestos!$D$20*Supuestos!$D$5</f>
        <v>52000000</v>
      </c>
      <c r="F18" s="25">
        <f>Supuestos!$D$14*Supuestos!$D$20*Supuestos!$D$5</f>
        <v>67600000</v>
      </c>
    </row>
    <row r="19" spans="2:7" x14ac:dyDescent="0.55000000000000004">
      <c r="B19" s="36" t="s">
        <v>161</v>
      </c>
      <c r="D19" s="25">
        <f>Supuestos!$D$10*Supuestos!$D$21*Supuestos!$D$5</f>
        <v>50000000</v>
      </c>
      <c r="E19" s="25">
        <f>Supuestos!$D$13*Supuestos!$D$21*Supuestos!$D$5</f>
        <v>65000000</v>
      </c>
      <c r="F19" s="25">
        <f>Supuestos!$D$14*Supuestos!$D$21*Supuestos!$D$5</f>
        <v>84500000</v>
      </c>
    </row>
    <row r="20" spans="2:7" x14ac:dyDescent="0.55000000000000004">
      <c r="B20" s="36" t="s">
        <v>162</v>
      </c>
      <c r="D20" s="25">
        <f>Supuestos!$D$10*Supuestos!$D$22*Supuestos!$D$5</f>
        <v>10000000</v>
      </c>
      <c r="E20" s="25">
        <f>Supuestos!$D$13*Supuestos!$D$22*Supuestos!$D$5</f>
        <v>13000000</v>
      </c>
      <c r="F20" s="25">
        <f>Supuestos!$D$14*Supuestos!$D$22*Supuestos!$D$5</f>
        <v>16900000</v>
      </c>
    </row>
    <row r="21" spans="2:7" x14ac:dyDescent="0.55000000000000004">
      <c r="B21" s="38" t="s">
        <v>163</v>
      </c>
      <c r="D21" s="26">
        <f>SUM(D18:D20)</f>
        <v>100000000</v>
      </c>
      <c r="E21" s="26">
        <f>SUM(E18:E20)</f>
        <v>130000000</v>
      </c>
      <c r="F21" s="26">
        <f>SUM(F18:F20)</f>
        <v>169000000</v>
      </c>
    </row>
    <row r="24" spans="2:7" x14ac:dyDescent="0.55000000000000004">
      <c r="B24" s="76" t="s">
        <v>164</v>
      </c>
      <c r="C24" s="76"/>
      <c r="D24" s="76"/>
      <c r="E24" s="76"/>
      <c r="F24" s="76"/>
      <c r="G24" s="76"/>
    </row>
    <row r="25" spans="2:7" x14ac:dyDescent="0.55000000000000004">
      <c r="B25" s="36" t="s">
        <v>165</v>
      </c>
      <c r="D25" s="29" t="s">
        <v>166</v>
      </c>
      <c r="E25" s="29" t="s">
        <v>167</v>
      </c>
      <c r="F25" s="29" t="s">
        <v>168</v>
      </c>
      <c r="G25" s="29" t="s">
        <v>169</v>
      </c>
    </row>
    <row r="26" spans="2:7" x14ac:dyDescent="0.55000000000000004">
      <c r="B26" s="36" t="s">
        <v>170</v>
      </c>
      <c r="D26" s="39">
        <v>0.2</v>
      </c>
      <c r="E26" s="39">
        <v>0.25</v>
      </c>
      <c r="F26" s="39">
        <v>0.25</v>
      </c>
      <c r="G26" s="39">
        <v>0.3</v>
      </c>
    </row>
    <row r="27" spans="2:7" x14ac:dyDescent="0.55000000000000004">
      <c r="B27" s="38" t="s">
        <v>171</v>
      </c>
      <c r="D27" s="40">
        <f>SUM(D26:G26)</f>
        <v>1</v>
      </c>
    </row>
    <row r="29" spans="2:7" x14ac:dyDescent="0.55000000000000004">
      <c r="B29" s="38" t="s">
        <v>172</v>
      </c>
      <c r="D29" s="37">
        <f>ROUND(Supuestos!$D$10*D26,0)</f>
        <v>100</v>
      </c>
      <c r="E29" s="37">
        <f>ROUND(Supuestos!$D$10*E26,0)</f>
        <v>125</v>
      </c>
      <c r="F29" s="37">
        <f>ROUND(Supuestos!$D$10*F26,0)</f>
        <v>125</v>
      </c>
      <c r="G29" s="37">
        <f>ROUND(Supuestos!$D$10*G26,0)</f>
        <v>150</v>
      </c>
    </row>
    <row r="30" spans="2:7" x14ac:dyDescent="0.55000000000000004">
      <c r="B30" s="38" t="s">
        <v>173</v>
      </c>
      <c r="D30" s="37">
        <f>ROUND(Supuestos!$D$13*D26,0)</f>
        <v>130</v>
      </c>
      <c r="E30" s="37">
        <f>ROUND(Supuestos!$D$13*E26,0)</f>
        <v>163</v>
      </c>
      <c r="F30" s="37">
        <f>ROUND(Supuestos!$D$13*F26,0)</f>
        <v>163</v>
      </c>
      <c r="G30" s="37">
        <f>ROUND(Supuestos!$D$13*G26,0)</f>
        <v>195</v>
      </c>
    </row>
    <row r="31" spans="2:7" x14ac:dyDescent="0.55000000000000004">
      <c r="B31" s="38" t="s">
        <v>174</v>
      </c>
      <c r="D31" s="37">
        <f>ROUND(Supuestos!$D$14*D26,0)</f>
        <v>169</v>
      </c>
      <c r="E31" s="37">
        <f>ROUND(Supuestos!$D$14*E26,0)</f>
        <v>211</v>
      </c>
      <c r="F31" s="37">
        <f>ROUND(Supuestos!$D$14*F26,0)</f>
        <v>211</v>
      </c>
      <c r="G31" s="37">
        <f>ROUND(Supuestos!$D$14*G26,0)</f>
        <v>254</v>
      </c>
    </row>
    <row r="34" spans="2:7" x14ac:dyDescent="0.55000000000000004">
      <c r="B34" s="76" t="s">
        <v>175</v>
      </c>
      <c r="C34" s="76"/>
      <c r="D34" s="76"/>
      <c r="E34" s="76"/>
      <c r="F34" s="76"/>
      <c r="G34" s="76"/>
    </row>
    <row r="35" spans="2:7" x14ac:dyDescent="0.55000000000000004">
      <c r="B35" s="36" t="s">
        <v>176</v>
      </c>
      <c r="D35" s="29" t="s">
        <v>90</v>
      </c>
      <c r="E35" s="29" t="s">
        <v>91</v>
      </c>
      <c r="F35" s="29" t="s">
        <v>92</v>
      </c>
    </row>
    <row r="36" spans="2:7" x14ac:dyDescent="0.55000000000000004">
      <c r="B36" s="36" t="s">
        <v>177</v>
      </c>
      <c r="D36" s="25">
        <f>Supuestos!$D$15/2</f>
        <v>50000000</v>
      </c>
      <c r="E36" s="25">
        <f>Supuestos!$D$16/2</f>
        <v>65000000</v>
      </c>
      <c r="F36" s="25">
        <f>Supuestos!$D$17/2</f>
        <v>84500000</v>
      </c>
    </row>
  </sheetData>
  <mergeCells count="5">
    <mergeCell ref="B2:G2"/>
    <mergeCell ref="B9:G9"/>
    <mergeCell ref="B16:G16"/>
    <mergeCell ref="B24:G24"/>
    <mergeCell ref="B34:G34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40"/>
  <sheetViews>
    <sheetView showGridLines="0" zoomScaleNormal="100" workbookViewId="0">
      <selection activeCell="B11" sqref="B11"/>
    </sheetView>
  </sheetViews>
  <sheetFormatPr baseColWidth="10" defaultColWidth="8.68359375" defaultRowHeight="14.4" x14ac:dyDescent="0.55000000000000004"/>
  <cols>
    <col min="1" max="1" width="2" customWidth="1"/>
    <col min="2" max="2" width="42" customWidth="1"/>
    <col min="3" max="6" width="18" customWidth="1"/>
  </cols>
  <sheetData>
    <row r="2" spans="2:6" ht="21.75" customHeight="1" x14ac:dyDescent="0.55000000000000004">
      <c r="B2" s="72" t="s">
        <v>178</v>
      </c>
      <c r="C2" s="72"/>
      <c r="D2" s="72"/>
      <c r="E2" s="72"/>
      <c r="F2" s="72"/>
    </row>
    <row r="4" spans="2:6" ht="19.5" customHeight="1" x14ac:dyDescent="0.55000000000000004">
      <c r="D4" s="29" t="s">
        <v>90</v>
      </c>
      <c r="E4" s="29" t="s">
        <v>91</v>
      </c>
      <c r="F4" s="29" t="s">
        <v>92</v>
      </c>
    </row>
    <row r="5" spans="2:6" x14ac:dyDescent="0.55000000000000004">
      <c r="B5" s="76" t="s">
        <v>179</v>
      </c>
      <c r="C5" s="76"/>
      <c r="D5" s="76"/>
      <c r="E5" s="76"/>
      <c r="F5" s="76"/>
    </row>
    <row r="6" spans="2:6" x14ac:dyDescent="0.55000000000000004">
      <c r="B6" s="30" t="s">
        <v>180</v>
      </c>
      <c r="D6" s="41">
        <v>0</v>
      </c>
      <c r="E6" s="35">
        <f>D11</f>
        <v>92000000</v>
      </c>
      <c r="F6" s="35">
        <f>E11</f>
        <v>196880000</v>
      </c>
    </row>
    <row r="7" spans="2:6" x14ac:dyDescent="0.55000000000000004">
      <c r="B7" s="33" t="s">
        <v>181</v>
      </c>
      <c r="D7" s="34">
        <f>Supuestos!$D$15</f>
        <v>100000000</v>
      </c>
      <c r="E7" s="34">
        <f>Supuestos!$D$16</f>
        <v>130000000</v>
      </c>
      <c r="F7" s="34">
        <f>Supuestos!$D$17</f>
        <v>169000000</v>
      </c>
    </row>
    <row r="8" spans="2:6" x14ac:dyDescent="0.55000000000000004">
      <c r="B8" s="33" t="s">
        <v>182</v>
      </c>
      <c r="D8" s="25">
        <f>-(Supuestos!$D$118)*(D6+D7*0.5)</f>
        <v>-4250000</v>
      </c>
      <c r="E8" s="25">
        <f>-(Supuestos!$D$118)*(E6+E7*0.5)</f>
        <v>-13345000.000000002</v>
      </c>
      <c r="F8" s="25">
        <f>-(Supuestos!$D$118)*(F6+F7*0.5)</f>
        <v>-23917300</v>
      </c>
    </row>
    <row r="9" spans="2:6" x14ac:dyDescent="0.55000000000000004">
      <c r="B9" s="33" t="s">
        <v>183</v>
      </c>
      <c r="D9" s="25">
        <f>-(Supuestos!$D$119)*(D6+D7*0.5)</f>
        <v>-2500000</v>
      </c>
      <c r="E9" s="25">
        <f>-(Supuestos!$D$119)*(E6+E7*0.5)</f>
        <v>-7850000</v>
      </c>
      <c r="F9" s="25">
        <f>-(Supuestos!$D$119)*(F6+F7*0.5)</f>
        <v>-14069000</v>
      </c>
    </row>
    <row r="10" spans="2:6" x14ac:dyDescent="0.55000000000000004">
      <c r="B10" s="33" t="s">
        <v>406</v>
      </c>
      <c r="D10" s="25">
        <f>-Supuestos!$D$115*(D6+D7*0.5)</f>
        <v>-1250000</v>
      </c>
      <c r="E10" s="25">
        <f>-Supuestos!$D$115*(E6+E7*0.5)</f>
        <v>-3925000</v>
      </c>
      <c r="F10" s="25">
        <f>-Supuestos!$D$115*(F6+F7*0.5)</f>
        <v>-7034500</v>
      </c>
    </row>
    <row r="11" spans="2:6" x14ac:dyDescent="0.55000000000000004">
      <c r="B11" s="30" t="s">
        <v>184</v>
      </c>
      <c r="D11" s="26">
        <f>D6+D7+D8+D9+D10</f>
        <v>92000000</v>
      </c>
      <c r="E11" s="26">
        <f>E6+E7+E8+E9+E10</f>
        <v>196880000</v>
      </c>
      <c r="F11" s="26">
        <f>F6+F7+F8+F9+F10</f>
        <v>320859200</v>
      </c>
    </row>
    <row r="13" spans="2:6" x14ac:dyDescent="0.55000000000000004">
      <c r="B13" s="30" t="s">
        <v>185</v>
      </c>
      <c r="D13" s="35">
        <f>(D6+D11)/2</f>
        <v>46000000</v>
      </c>
      <c r="E13" s="35">
        <f>(E6+E11)/2</f>
        <v>144440000</v>
      </c>
      <c r="F13" s="35">
        <f>(F6+F11)/2</f>
        <v>258869600</v>
      </c>
    </row>
    <row r="15" spans="2:6" x14ac:dyDescent="0.55000000000000004">
      <c r="B15" s="76" t="s">
        <v>186</v>
      </c>
      <c r="C15" s="76"/>
      <c r="D15" s="76"/>
      <c r="E15" s="76"/>
      <c r="F15" s="76"/>
    </row>
    <row r="16" spans="2:6" x14ac:dyDescent="0.55000000000000004">
      <c r="D16" s="29" t="s">
        <v>90</v>
      </c>
      <c r="E16" s="29" t="s">
        <v>91</v>
      </c>
      <c r="F16" s="29" t="s">
        <v>92</v>
      </c>
    </row>
    <row r="17" spans="2:6" x14ac:dyDescent="0.55000000000000004">
      <c r="B17" s="33" t="s">
        <v>187</v>
      </c>
      <c r="D17" s="25">
        <f>D11*Supuestos!$D$106</f>
        <v>84640000</v>
      </c>
      <c r="E17" s="25">
        <f>E11*Supuestos!$D$106</f>
        <v>181129600</v>
      </c>
      <c r="F17" s="25">
        <f>F11*Supuestos!$D$106</f>
        <v>295190464</v>
      </c>
    </row>
    <row r="18" spans="2:6" x14ac:dyDescent="0.55000000000000004">
      <c r="B18" s="33" t="s">
        <v>404</v>
      </c>
      <c r="D18" s="25">
        <f>D11*Supuestos!$D$107</f>
        <v>4600000</v>
      </c>
      <c r="E18" s="25">
        <f>E11*Supuestos!$D$107</f>
        <v>9844000</v>
      </c>
      <c r="F18" s="25">
        <f>F11*Supuestos!$D$107</f>
        <v>16042960</v>
      </c>
    </row>
    <row r="19" spans="2:6" x14ac:dyDescent="0.55000000000000004">
      <c r="B19" s="33" t="s">
        <v>405</v>
      </c>
      <c r="D19" s="25">
        <f>D11*Supuestos!$D$108</f>
        <v>2760000</v>
      </c>
      <c r="E19" s="25">
        <f>E11*Supuestos!$D$108</f>
        <v>5906400</v>
      </c>
      <c r="F19" s="25">
        <f>F11*Supuestos!$D$108</f>
        <v>9625776</v>
      </c>
    </row>
    <row r="20" spans="2:6" x14ac:dyDescent="0.55000000000000004">
      <c r="B20" s="38" t="s">
        <v>188</v>
      </c>
      <c r="D20" s="26">
        <f>SUM(D17:D19)</f>
        <v>92000000</v>
      </c>
      <c r="E20" s="26">
        <f>SUM(E17:E19)</f>
        <v>196880000</v>
      </c>
      <c r="F20" s="26">
        <f>SUM(F17:F19)</f>
        <v>320859200</v>
      </c>
    </row>
    <row r="22" spans="2:6" x14ac:dyDescent="0.55000000000000004">
      <c r="B22" s="76" t="s">
        <v>189</v>
      </c>
      <c r="C22" s="76"/>
      <c r="D22" s="76"/>
      <c r="E22" s="76"/>
      <c r="F22" s="76"/>
    </row>
    <row r="23" spans="2:6" x14ac:dyDescent="0.55000000000000004">
      <c r="D23" s="29" t="s">
        <v>90</v>
      </c>
      <c r="E23" s="29" t="s">
        <v>91</v>
      </c>
      <c r="F23" s="29" t="s">
        <v>92</v>
      </c>
    </row>
    <row r="24" spans="2:6" x14ac:dyDescent="0.55000000000000004">
      <c r="B24" s="33" t="s">
        <v>190</v>
      </c>
      <c r="D24" s="25">
        <f>D17+D18</f>
        <v>89240000</v>
      </c>
      <c r="E24" s="25">
        <f>E17+E18</f>
        <v>190973600</v>
      </c>
      <c r="F24" s="25">
        <f>F17+F18</f>
        <v>311233424</v>
      </c>
    </row>
    <row r="25" spans="2:6" x14ac:dyDescent="0.55000000000000004">
      <c r="B25" s="33" t="s">
        <v>191</v>
      </c>
      <c r="D25" s="25">
        <f>D19</f>
        <v>2760000</v>
      </c>
      <c r="E25" s="25">
        <f>E19</f>
        <v>5906400</v>
      </c>
      <c r="F25" s="25">
        <f>F19</f>
        <v>9625776</v>
      </c>
    </row>
    <row r="26" spans="2:6" x14ac:dyDescent="0.55000000000000004">
      <c r="B26" s="30" t="s">
        <v>192</v>
      </c>
      <c r="D26" s="26">
        <f>D24+D25</f>
        <v>92000000</v>
      </c>
      <c r="E26" s="26">
        <f>E24+E25</f>
        <v>196880000</v>
      </c>
      <c r="F26" s="26">
        <f>F24+F25</f>
        <v>320859200</v>
      </c>
    </row>
    <row r="28" spans="2:6" x14ac:dyDescent="0.55000000000000004">
      <c r="B28" s="76" t="s">
        <v>193</v>
      </c>
      <c r="C28" s="76"/>
      <c r="D28" s="76"/>
      <c r="E28" s="76"/>
      <c r="F28" s="76"/>
    </row>
    <row r="29" spans="2:6" x14ac:dyDescent="0.55000000000000004">
      <c r="D29" s="29" t="s">
        <v>90</v>
      </c>
      <c r="E29" s="29" t="s">
        <v>91</v>
      </c>
      <c r="F29" s="29" t="s">
        <v>92</v>
      </c>
    </row>
    <row r="30" spans="2:6" x14ac:dyDescent="0.55000000000000004">
      <c r="B30" s="33" t="s">
        <v>194</v>
      </c>
      <c r="D30" s="25">
        <f>D17*Supuestos!$D$110</f>
        <v>1423729.44</v>
      </c>
      <c r="E30" s="25">
        <f>E17*Supuestos!$D$110</f>
        <v>3046781.0016000001</v>
      </c>
      <c r="F30" s="25">
        <f>F17*Supuestos!$D$110</f>
        <v>4965398.7949439995</v>
      </c>
    </row>
    <row r="31" spans="2:6" x14ac:dyDescent="0.55000000000000004">
      <c r="B31" s="33" t="s">
        <v>195</v>
      </c>
      <c r="D31" s="25">
        <f>D18*Supuestos!$D$111</f>
        <v>920000</v>
      </c>
      <c r="E31" s="25">
        <f>E18*Supuestos!$D$111</f>
        <v>1968800</v>
      </c>
      <c r="F31" s="25">
        <f>F18*Supuestos!$D$111</f>
        <v>3208592</v>
      </c>
    </row>
    <row r="32" spans="2:6" x14ac:dyDescent="0.55000000000000004">
      <c r="B32" s="33" t="s">
        <v>196</v>
      </c>
      <c r="D32" s="25">
        <f>D19*Supuestos!$D$112</f>
        <v>1242000</v>
      </c>
      <c r="E32" s="25">
        <f>E19*Supuestos!$D$112</f>
        <v>2657880</v>
      </c>
      <c r="F32" s="25">
        <f>F19*Supuestos!$D$112</f>
        <v>4331599.2</v>
      </c>
    </row>
    <row r="33" spans="2:6" x14ac:dyDescent="0.55000000000000004">
      <c r="B33" s="30" t="s">
        <v>197</v>
      </c>
      <c r="D33" s="26">
        <f>SUM(D30:D32)</f>
        <v>3585729.44</v>
      </c>
      <c r="E33" s="26">
        <f>SUM(E30:E32)</f>
        <v>7673461.0016000001</v>
      </c>
      <c r="F33" s="26">
        <f>SUM(F30:F32)</f>
        <v>12505589.994943999</v>
      </c>
    </row>
    <row r="35" spans="2:6" x14ac:dyDescent="0.55000000000000004">
      <c r="B35" s="30" t="s">
        <v>198</v>
      </c>
      <c r="D35" s="35">
        <f>D33+(-D10)</f>
        <v>4835729.4399999995</v>
      </c>
      <c r="E35" s="35">
        <f>(E33-D33)+(-E10)</f>
        <v>8012731.5615999997</v>
      </c>
      <c r="F35" s="35">
        <f>(F33-E33)+(-F10)</f>
        <v>11866628.993343998</v>
      </c>
    </row>
    <row r="37" spans="2:6" x14ac:dyDescent="0.55000000000000004">
      <c r="B37" s="30" t="s">
        <v>199</v>
      </c>
      <c r="D37" s="26">
        <f>D11-D33</f>
        <v>88414270.560000002</v>
      </c>
      <c r="E37" s="26">
        <f>E11-E33</f>
        <v>189206538.9984</v>
      </c>
      <c r="F37" s="26">
        <f>F11-F33</f>
        <v>308353610.00505602</v>
      </c>
    </row>
    <row r="38" spans="2:6" x14ac:dyDescent="0.55000000000000004">
      <c r="B38" s="33" t="s">
        <v>200</v>
      </c>
      <c r="D38" s="42">
        <f>D25/D11</f>
        <v>0.03</v>
      </c>
      <c r="E38" s="42">
        <f>E25/E11</f>
        <v>0.03</v>
      </c>
      <c r="F38" s="42">
        <f>F25/F11</f>
        <v>0.03</v>
      </c>
    </row>
    <row r="39" spans="2:6" x14ac:dyDescent="0.55000000000000004">
      <c r="B39" s="33" t="s">
        <v>201</v>
      </c>
      <c r="D39" s="42">
        <f>(D25-D10)/D11</f>
        <v>4.3586956521739127E-2</v>
      </c>
      <c r="E39" s="42">
        <f>(E25-E10)/E11</f>
        <v>4.9936001625355546E-2</v>
      </c>
      <c r="F39" s="42">
        <f>(F25-F10)/F11</f>
        <v>5.1923946703102172E-2</v>
      </c>
    </row>
    <row r="40" spans="2:6" x14ac:dyDescent="0.55000000000000004">
      <c r="B40" s="33" t="s">
        <v>202</v>
      </c>
      <c r="D40" s="43">
        <f>IFERROR(D33/D25,0)</f>
        <v>1.2991773333333334</v>
      </c>
      <c r="E40" s="43">
        <f>IFERROR(E33/E25,0)</f>
        <v>1.2991773333333334</v>
      </c>
      <c r="F40" s="43">
        <f>IFERROR(F33/F25,0)</f>
        <v>1.2991773333333332</v>
      </c>
    </row>
  </sheetData>
  <mergeCells count="5">
    <mergeCell ref="B2:F2"/>
    <mergeCell ref="B5:F5"/>
    <mergeCell ref="B15:F15"/>
    <mergeCell ref="B22:F22"/>
    <mergeCell ref="B28:F28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37"/>
  <sheetViews>
    <sheetView showGridLines="0" topLeftCell="A22" zoomScaleNormal="100" workbookViewId="0"/>
  </sheetViews>
  <sheetFormatPr baseColWidth="10" defaultColWidth="8.68359375" defaultRowHeight="14.4" x14ac:dyDescent="0.55000000000000004"/>
  <cols>
    <col min="1" max="1" width="2" customWidth="1"/>
    <col min="2" max="2" width="48" customWidth="1"/>
    <col min="3" max="5" width="18" customWidth="1"/>
  </cols>
  <sheetData>
    <row r="2" spans="2:5" ht="21.75" customHeight="1" x14ac:dyDescent="0.55000000000000004">
      <c r="B2" s="72" t="s">
        <v>203</v>
      </c>
      <c r="C2" s="72"/>
      <c r="D2" s="72"/>
      <c r="E2" s="72"/>
    </row>
    <row r="4" spans="2:5" ht="19.5" customHeight="1" x14ac:dyDescent="0.55000000000000004">
      <c r="C4" s="29" t="s">
        <v>90</v>
      </c>
      <c r="D4" s="29" t="s">
        <v>91</v>
      </c>
      <c r="E4" s="29" t="s">
        <v>92</v>
      </c>
    </row>
    <row r="5" spans="2:5" x14ac:dyDescent="0.55000000000000004">
      <c r="B5" s="76" t="s">
        <v>204</v>
      </c>
      <c r="C5" s="76"/>
      <c r="D5" s="76"/>
      <c r="E5" s="76"/>
    </row>
    <row r="6" spans="2:5" x14ac:dyDescent="0.55000000000000004">
      <c r="B6" s="33" t="s">
        <v>205</v>
      </c>
      <c r="C6" s="25">
        <f>Supuestos!$D$29*Cartera!$D$13</f>
        <v>16027320</v>
      </c>
      <c r="D6" s="25">
        <f>Supuestos!$D$29*Cartera!$E$13</f>
        <v>50325784.800000004</v>
      </c>
      <c r="E6" s="25">
        <f>Supuestos!$D$29*Cartera!$F$13</f>
        <v>90195346.032000005</v>
      </c>
    </row>
    <row r="7" spans="2:5" x14ac:dyDescent="0.55000000000000004">
      <c r="B7" s="33" t="s">
        <v>206</v>
      </c>
      <c r="C7" s="25">
        <f>0.01*Originación!$D$7</f>
        <v>1000000</v>
      </c>
      <c r="D7" s="25">
        <f>0.01*Originación!$E$7</f>
        <v>1300000</v>
      </c>
      <c r="E7" s="25">
        <f>0.01*Originación!$F$7</f>
        <v>1690000</v>
      </c>
    </row>
    <row r="8" spans="2:5" x14ac:dyDescent="0.55000000000000004">
      <c r="B8" s="30" t="s">
        <v>207</v>
      </c>
      <c r="C8" s="26">
        <f>C6+C7</f>
        <v>17027320</v>
      </c>
      <c r="D8" s="26">
        <f>D6+D7</f>
        <v>51625784.800000004</v>
      </c>
      <c r="E8" s="26">
        <f>E6+E7</f>
        <v>91885346.032000005</v>
      </c>
    </row>
    <row r="10" spans="2:5" x14ac:dyDescent="0.55000000000000004">
      <c r="B10" s="76" t="s">
        <v>208</v>
      </c>
      <c r="C10" s="76"/>
      <c r="D10" s="76"/>
      <c r="E10" s="76"/>
    </row>
    <row r="11" spans="2:5" x14ac:dyDescent="0.55000000000000004">
      <c r="B11" s="33" t="s">
        <v>209</v>
      </c>
      <c r="C11" s="25">
        <f>Cartera!$D$13*Supuestos!$D$43</f>
        <v>39100000</v>
      </c>
      <c r="D11" s="25">
        <f>Cartera!$E$13*Supuestos!$D$43</f>
        <v>122774000</v>
      </c>
      <c r="E11" s="25">
        <f>Cartera!$F$13*Supuestos!$D$43</f>
        <v>220039160</v>
      </c>
    </row>
    <row r="12" spans="2:5" x14ac:dyDescent="0.55000000000000004">
      <c r="B12" s="33" t="s">
        <v>210</v>
      </c>
      <c r="C12" s="25">
        <f>-Supuestos!$D$42*C11</f>
        <v>-4104366.1000000006</v>
      </c>
      <c r="D12" s="25">
        <f>-Supuestos!$D$42*D11</f>
        <v>-12887709.554000001</v>
      </c>
      <c r="E12" s="25">
        <f>-Supuestos!$D$42*E11</f>
        <v>-23097730.664360002</v>
      </c>
    </row>
    <row r="14" spans="2:5" x14ac:dyDescent="0.55000000000000004">
      <c r="B14" s="30" t="s">
        <v>211</v>
      </c>
      <c r="C14" s="26">
        <f>C8+C12</f>
        <v>12922953.899999999</v>
      </c>
      <c r="D14" s="26">
        <f>D8+D12</f>
        <v>38738075.246000007</v>
      </c>
      <c r="E14" s="26">
        <f>E8+E12</f>
        <v>68787615.367640004</v>
      </c>
    </row>
    <row r="16" spans="2:5" x14ac:dyDescent="0.55000000000000004">
      <c r="B16" s="33" t="s">
        <v>212</v>
      </c>
      <c r="C16" s="34">
        <f>-Cartera!$D$35</f>
        <v>-4835729.4399999995</v>
      </c>
      <c r="D16" s="34">
        <f>-Cartera!$E$35</f>
        <v>-8012731.5615999997</v>
      </c>
      <c r="E16" s="34">
        <f>-Cartera!$F$35</f>
        <v>-11866628.993343998</v>
      </c>
    </row>
    <row r="17" spans="2:5" x14ac:dyDescent="0.55000000000000004">
      <c r="B17" s="30" t="s">
        <v>213</v>
      </c>
      <c r="C17" s="26">
        <f>C14+C16</f>
        <v>8087224.459999999</v>
      </c>
      <c r="D17" s="26">
        <f>D14+D16</f>
        <v>30725343.684400007</v>
      </c>
      <c r="E17" s="26">
        <f>E14+E16</f>
        <v>56920986.37429601</v>
      </c>
    </row>
    <row r="19" spans="2:5" x14ac:dyDescent="0.55000000000000004">
      <c r="B19" s="76" t="s">
        <v>214</v>
      </c>
      <c r="C19" s="76"/>
      <c r="D19" s="76"/>
      <c r="E19" s="76"/>
    </row>
    <row r="20" spans="2:5" x14ac:dyDescent="0.55000000000000004">
      <c r="B20" s="33" t="s">
        <v>215</v>
      </c>
      <c r="C20" s="34">
        <f>-Supuestos!$D$81</f>
        <v>-4665600</v>
      </c>
      <c r="D20" s="34">
        <f>-Supuestos!$E$81*(1+Supuestos!$D$126)</f>
        <v>-5408208</v>
      </c>
      <c r="E20" s="34">
        <f>-Supuestos!$F$81*(1+Supuestos!$D$126)^2</f>
        <v>-6588241.9200000009</v>
      </c>
    </row>
    <row r="21" spans="2:5" x14ac:dyDescent="0.55000000000000004">
      <c r="B21" s="33" t="s">
        <v>216</v>
      </c>
      <c r="C21" s="34">
        <f>-Supuestos!$D$92</f>
        <v>-972000</v>
      </c>
      <c r="D21" s="34">
        <f>-Supuestos!$D$92*(1+Supuestos!$D$126)</f>
        <v>-1010880</v>
      </c>
      <c r="E21" s="34">
        <f>-Supuestos!$D$92*(1+Supuestos!$D$126)^2</f>
        <v>-1051315.2000000002</v>
      </c>
    </row>
    <row r="22" spans="2:5" x14ac:dyDescent="0.55000000000000004">
      <c r="B22" s="33" t="s">
        <v>217</v>
      </c>
      <c r="C22" s="25">
        <f>-Supuestos!$D$10*Supuestos!$D$90*Supuestos!$D$89</f>
        <v>-62500</v>
      </c>
      <c r="D22" s="25">
        <f>-Supuestos!$D$13*Supuestos!$D$90*Supuestos!$D$89</f>
        <v>-81250</v>
      </c>
      <c r="E22" s="25">
        <f>-Supuestos!$D$14*Supuestos!$D$90*Supuestos!$D$89</f>
        <v>-105625</v>
      </c>
    </row>
    <row r="23" spans="2:5" x14ac:dyDescent="0.55000000000000004">
      <c r="B23" s="33" t="s">
        <v>218</v>
      </c>
      <c r="C23" s="34">
        <f>-Supuestos!$D$101</f>
        <v>-1500000</v>
      </c>
      <c r="D23" s="34">
        <f>-Supuestos!$D$102</f>
        <v>-1755000</v>
      </c>
      <c r="E23" s="34">
        <f>-Supuestos!$D$103</f>
        <v>-1939275</v>
      </c>
    </row>
    <row r="24" spans="2:5" x14ac:dyDescent="0.55000000000000004">
      <c r="B24" s="30" t="s">
        <v>219</v>
      </c>
      <c r="C24" s="26">
        <f>SUM(C20:C23)</f>
        <v>-7200100</v>
      </c>
      <c r="D24" s="26">
        <f>SUM(D20:D23)</f>
        <v>-8255338</v>
      </c>
      <c r="E24" s="26">
        <f>SUM(E20:E23)</f>
        <v>-9684457.120000001</v>
      </c>
    </row>
    <row r="26" spans="2:5" x14ac:dyDescent="0.55000000000000004">
      <c r="B26" s="30" t="s">
        <v>220</v>
      </c>
      <c r="C26" s="26">
        <f>C17+C24</f>
        <v>887124.45999999903</v>
      </c>
      <c r="D26" s="26">
        <f>D17+D24</f>
        <v>22470005.684400007</v>
      </c>
      <c r="E26" s="26">
        <f>E17+E24</f>
        <v>47236529.254296005</v>
      </c>
    </row>
    <row r="28" spans="2:5" x14ac:dyDescent="0.55000000000000004">
      <c r="B28" s="33" t="s">
        <v>221</v>
      </c>
      <c r="C28" s="25">
        <f>-MAX(C26,0)*Supuestos!$D$123</f>
        <v>-88712.445999999909</v>
      </c>
      <c r="D28" s="25">
        <f>-MAX(D26,0)*Supuestos!$D$123</f>
        <v>-2247000.568440001</v>
      </c>
      <c r="E28" s="25">
        <f>-MAX(E26,0)*Supuestos!$D$123</f>
        <v>-4723652.9254296003</v>
      </c>
    </row>
    <row r="29" spans="2:5" x14ac:dyDescent="0.55000000000000004">
      <c r="B29" s="30" t="s">
        <v>222</v>
      </c>
      <c r="C29" s="35">
        <f>C26+C28</f>
        <v>798412.01399999915</v>
      </c>
      <c r="D29" s="35">
        <f>D26+D28</f>
        <v>20223005.115960006</v>
      </c>
      <c r="E29" s="35">
        <f>E26+E28</f>
        <v>42512876.328866407</v>
      </c>
    </row>
    <row r="30" spans="2:5" x14ac:dyDescent="0.55000000000000004">
      <c r="B30" s="33" t="s">
        <v>223</v>
      </c>
      <c r="C30" s="25">
        <f>-MAX(C29,0)*Supuestos!$D$122</f>
        <v>-239523.60419999974</v>
      </c>
      <c r="D30" s="25">
        <f>-MAX(D29,0)*Supuestos!$D$122</f>
        <v>-6066901.5347880013</v>
      </c>
      <c r="E30" s="25">
        <f>-MAX(E29,0)*Supuestos!$D$122</f>
        <v>-12753862.898659922</v>
      </c>
    </row>
    <row r="32" spans="2:5" x14ac:dyDescent="0.55000000000000004">
      <c r="B32" s="30" t="s">
        <v>224</v>
      </c>
      <c r="C32" s="26">
        <f>C29+C30</f>
        <v>558888.40979999944</v>
      </c>
      <c r="D32" s="26">
        <f>D29+D30</f>
        <v>14156103.581172004</v>
      </c>
      <c r="E32" s="26">
        <f>E29+E30</f>
        <v>29759013.430206485</v>
      </c>
    </row>
    <row r="34" spans="2:5" x14ac:dyDescent="0.55000000000000004">
      <c r="B34" s="76" t="s">
        <v>225</v>
      </c>
      <c r="C34" s="76"/>
      <c r="D34" s="76"/>
      <c r="E34" s="76"/>
    </row>
    <row r="35" spans="2:5" x14ac:dyDescent="0.55000000000000004">
      <c r="B35" s="33" t="s">
        <v>226</v>
      </c>
      <c r="C35" s="42">
        <f>C8/Cartera!$D$13</f>
        <v>0.3701591304347826</v>
      </c>
      <c r="D35" s="42">
        <f>D8/Cartera!$E$13</f>
        <v>0.35742027693159795</v>
      </c>
      <c r="E35" s="42">
        <f>E8/Cartera!$F$13</f>
        <v>0.35494838340229984</v>
      </c>
    </row>
    <row r="36" spans="2:5" x14ac:dyDescent="0.55000000000000004">
      <c r="B36" s="33" t="s">
        <v>227</v>
      </c>
      <c r="C36" s="42">
        <f>C14/C8</f>
        <v>0.75895407498067802</v>
      </c>
      <c r="D36" s="42">
        <f>D14/D8</f>
        <v>0.75036293193551618</v>
      </c>
      <c r="E36" s="42">
        <f>E14/E8</f>
        <v>0.74862443619338404</v>
      </c>
    </row>
    <row r="37" spans="2:5" x14ac:dyDescent="0.55000000000000004">
      <c r="B37" s="33" t="s">
        <v>228</v>
      </c>
      <c r="C37" s="42">
        <f>C32/C8</f>
        <v>3.2823040255307322E-2</v>
      </c>
      <c r="D37" s="42">
        <f>D32/D8</f>
        <v>0.2742060703970548</v>
      </c>
      <c r="E37" s="42">
        <f>E32/E8</f>
        <v>0.32387115808262401</v>
      </c>
    </row>
  </sheetData>
  <mergeCells count="5">
    <mergeCell ref="B2:E2"/>
    <mergeCell ref="B5:E5"/>
    <mergeCell ref="B10:E10"/>
    <mergeCell ref="B19:E19"/>
    <mergeCell ref="B34:E34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26"/>
  <sheetViews>
    <sheetView showGridLines="0" topLeftCell="A20" zoomScaleNormal="100" workbookViewId="0"/>
  </sheetViews>
  <sheetFormatPr baseColWidth="10" defaultColWidth="8.68359375" defaultRowHeight="14.4" x14ac:dyDescent="0.55000000000000004"/>
  <cols>
    <col min="1" max="1" width="2" customWidth="1"/>
    <col min="2" max="2" width="48" customWidth="1"/>
    <col min="3" max="5" width="18" customWidth="1"/>
  </cols>
  <sheetData>
    <row r="2" spans="2:5" ht="21.75" customHeight="1" x14ac:dyDescent="0.55000000000000004">
      <c r="B2" s="72" t="s">
        <v>229</v>
      </c>
      <c r="C2" s="72"/>
      <c r="D2" s="72"/>
      <c r="E2" s="72"/>
    </row>
    <row r="4" spans="2:5" ht="19.5" customHeight="1" x14ac:dyDescent="0.55000000000000004">
      <c r="C4" s="29" t="s">
        <v>90</v>
      </c>
      <c r="D4" s="29" t="s">
        <v>91</v>
      </c>
      <c r="E4" s="29" t="s">
        <v>92</v>
      </c>
    </row>
    <row r="5" spans="2:5" x14ac:dyDescent="0.55000000000000004">
      <c r="B5" s="76" t="s">
        <v>230</v>
      </c>
      <c r="C5" s="76"/>
      <c r="D5" s="76"/>
      <c r="E5" s="76"/>
    </row>
    <row r="6" spans="2:5" x14ac:dyDescent="0.55000000000000004">
      <c r="B6" s="33" t="s">
        <v>231</v>
      </c>
      <c r="C6" s="34">
        <f>Cartera!$D$37</f>
        <v>88414270.560000002</v>
      </c>
      <c r="D6" s="34">
        <f>Cartera!$E$37</f>
        <v>189206538.9984</v>
      </c>
      <c r="E6" s="34">
        <f>Cartera!$F$37</f>
        <v>308353610.00505602</v>
      </c>
    </row>
    <row r="7" spans="2:5" x14ac:dyDescent="0.55000000000000004">
      <c r="B7" s="44" t="s">
        <v>232</v>
      </c>
      <c r="C7" s="45">
        <f>Cartera!$D$11</f>
        <v>92000000</v>
      </c>
      <c r="D7" s="45">
        <f>Cartera!$E$11</f>
        <v>196880000</v>
      </c>
      <c r="E7" s="45">
        <f>Cartera!$F$11</f>
        <v>320859200</v>
      </c>
    </row>
    <row r="8" spans="2:5" x14ac:dyDescent="0.55000000000000004">
      <c r="B8" s="44" t="s">
        <v>233</v>
      </c>
      <c r="C8" s="45">
        <f>-Cartera!$D$33</f>
        <v>-3585729.44</v>
      </c>
      <c r="D8" s="45">
        <f>-Cartera!$E$33</f>
        <v>-7673461.0016000001</v>
      </c>
      <c r="E8" s="45">
        <f>-Cartera!$F$33</f>
        <v>-12505589.994943999</v>
      </c>
    </row>
    <row r="9" spans="2:5" x14ac:dyDescent="0.55000000000000004">
      <c r="B9" s="33" t="s">
        <v>234</v>
      </c>
      <c r="C9" s="41">
        <v>250000</v>
      </c>
      <c r="D9" s="25">
        <f>C9</f>
        <v>250000</v>
      </c>
      <c r="E9" s="25">
        <f>D9</f>
        <v>250000</v>
      </c>
    </row>
    <row r="10" spans="2:5" x14ac:dyDescent="0.55000000000000004">
      <c r="B10" s="33" t="s">
        <v>235</v>
      </c>
      <c r="C10" s="25">
        <f>C24-C6-C9</f>
        <v>454622.84979999065</v>
      </c>
      <c r="D10" s="25">
        <f>D24-D6-D9</f>
        <v>3019219.8925720155</v>
      </c>
      <c r="E10" s="25">
        <f>E24-E6-E9</f>
        <v>19084938.272122502</v>
      </c>
    </row>
    <row r="11" spans="2:5" x14ac:dyDescent="0.55000000000000004">
      <c r="B11" s="30" t="s">
        <v>236</v>
      </c>
      <c r="C11" s="26">
        <f>C6+C9+C10</f>
        <v>89118893.409799993</v>
      </c>
      <c r="D11" s="26">
        <f>D6+D9+D10</f>
        <v>192475758.89097202</v>
      </c>
      <c r="E11" s="26">
        <f>E6+E9+E10</f>
        <v>327688548.27717853</v>
      </c>
    </row>
    <row r="13" spans="2:5" x14ac:dyDescent="0.55000000000000004">
      <c r="B13" s="76" t="s">
        <v>237</v>
      </c>
      <c r="C13" s="76"/>
      <c r="D13" s="76"/>
      <c r="E13" s="76"/>
    </row>
    <row r="14" spans="2:5" x14ac:dyDescent="0.55000000000000004">
      <c r="B14" s="33" t="s">
        <v>238</v>
      </c>
      <c r="C14" s="25">
        <f>Cartera!$D$11*Supuestos!$D$43</f>
        <v>78200000</v>
      </c>
      <c r="D14" s="25">
        <f>Cartera!$E$11*Supuestos!$D$43</f>
        <v>167348000</v>
      </c>
      <c r="E14" s="25">
        <f>Cartera!$F$11*Supuestos!$D$43</f>
        <v>272730320</v>
      </c>
    </row>
    <row r="15" spans="2:5" x14ac:dyDescent="0.55000000000000004">
      <c r="B15" s="33" t="s">
        <v>239</v>
      </c>
      <c r="C15" s="25">
        <f>-ER!$C$24*0.05</f>
        <v>360005</v>
      </c>
      <c r="D15" s="25">
        <f>-ER!$D$24*0.05</f>
        <v>412766.9</v>
      </c>
      <c r="E15" s="25">
        <f>-ER!$E$24*0.05</f>
        <v>484222.85600000009</v>
      </c>
    </row>
    <row r="16" spans="2:5" x14ac:dyDescent="0.55000000000000004">
      <c r="B16" s="30" t="s">
        <v>240</v>
      </c>
      <c r="C16" s="26">
        <f>C14+C15</f>
        <v>78560005</v>
      </c>
      <c r="D16" s="26">
        <f>D14+D15</f>
        <v>167760766.90000001</v>
      </c>
      <c r="E16" s="26">
        <f>E14+E15</f>
        <v>273214542.85600001</v>
      </c>
    </row>
    <row r="18" spans="2:5" x14ac:dyDescent="0.55000000000000004">
      <c r="B18" s="76" t="s">
        <v>241</v>
      </c>
      <c r="C18" s="76"/>
      <c r="D18" s="76"/>
      <c r="E18" s="76"/>
    </row>
    <row r="19" spans="2:5" x14ac:dyDescent="0.55000000000000004">
      <c r="B19" s="33" t="s">
        <v>242</v>
      </c>
      <c r="C19" s="34">
        <f>Supuestos!$D$46</f>
        <v>10000000</v>
      </c>
      <c r="D19" s="34">
        <f>Supuestos!$D$46</f>
        <v>10000000</v>
      </c>
      <c r="E19" s="34">
        <f>Supuestos!$D$46</f>
        <v>10000000</v>
      </c>
    </row>
    <row r="20" spans="2:5" x14ac:dyDescent="0.55000000000000004">
      <c r="B20" s="33" t="s">
        <v>243</v>
      </c>
      <c r="C20" s="41">
        <v>0</v>
      </c>
      <c r="D20" s="34">
        <f>ER!$C$32</f>
        <v>558888.40979999944</v>
      </c>
      <c r="E20" s="34">
        <f>ER!$C$32+ER!$D$32</f>
        <v>14714991.990972003</v>
      </c>
    </row>
    <row r="21" spans="2:5" x14ac:dyDescent="0.55000000000000004">
      <c r="B21" s="33" t="s">
        <v>244</v>
      </c>
      <c r="C21" s="34">
        <f>ER!$C$32</f>
        <v>558888.40979999944</v>
      </c>
      <c r="D21" s="34">
        <f>ER!$D$32</f>
        <v>14156103.581172004</v>
      </c>
      <c r="E21" s="34">
        <f>ER!$E$32</f>
        <v>29759013.430206485</v>
      </c>
    </row>
    <row r="22" spans="2:5" x14ac:dyDescent="0.55000000000000004">
      <c r="B22" s="30" t="s">
        <v>245</v>
      </c>
      <c r="C22" s="26">
        <f>C19+C20+C21</f>
        <v>10558888.409799999</v>
      </c>
      <c r="D22" s="26">
        <f>D19+D20+D21</f>
        <v>24714991.990972005</v>
      </c>
      <c r="E22" s="26">
        <f>E19+E20+E21</f>
        <v>54474005.42117849</v>
      </c>
    </row>
    <row r="24" spans="2:5" x14ac:dyDescent="0.55000000000000004">
      <c r="B24" s="30" t="s">
        <v>246</v>
      </c>
      <c r="C24" s="26">
        <f>C16+C22</f>
        <v>89118893.409799993</v>
      </c>
      <c r="D24" s="26">
        <f>D16+D22</f>
        <v>192475758.89097202</v>
      </c>
      <c r="E24" s="26">
        <f>E16+E22</f>
        <v>327688548.27717853</v>
      </c>
    </row>
    <row r="26" spans="2:5" x14ac:dyDescent="0.55000000000000004">
      <c r="B26" s="30" t="s">
        <v>247</v>
      </c>
      <c r="C26" s="46">
        <f>C11-C24</f>
        <v>0</v>
      </c>
      <c r="D26" s="46">
        <f>D11-D24</f>
        <v>0</v>
      </c>
      <c r="E26" s="46">
        <f>E11-E24</f>
        <v>0</v>
      </c>
    </row>
  </sheetData>
  <mergeCells count="4">
    <mergeCell ref="B2:E2"/>
    <mergeCell ref="B5:E5"/>
    <mergeCell ref="B13:E13"/>
    <mergeCell ref="B18:E18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25"/>
  <sheetViews>
    <sheetView showGridLines="0" topLeftCell="A4" zoomScaleNormal="100" workbookViewId="0"/>
  </sheetViews>
  <sheetFormatPr baseColWidth="10" defaultColWidth="8.68359375" defaultRowHeight="14.4" x14ac:dyDescent="0.55000000000000004"/>
  <cols>
    <col min="1" max="1" width="2" customWidth="1"/>
    <col min="2" max="2" width="48" customWidth="1"/>
    <col min="3" max="5" width="18" customWidth="1"/>
  </cols>
  <sheetData>
    <row r="2" spans="2:5" ht="21.75" customHeight="1" x14ac:dyDescent="0.55000000000000004">
      <c r="B2" s="72" t="s">
        <v>248</v>
      </c>
      <c r="C2" s="72"/>
      <c r="D2" s="72"/>
      <c r="E2" s="72"/>
    </row>
    <row r="4" spans="2:5" ht="19.5" customHeight="1" x14ac:dyDescent="0.55000000000000004">
      <c r="C4" s="29" t="s">
        <v>90</v>
      </c>
      <c r="D4" s="29" t="s">
        <v>91</v>
      </c>
      <c r="E4" s="29" t="s">
        <v>92</v>
      </c>
    </row>
    <row r="5" spans="2:5" x14ac:dyDescent="0.55000000000000004">
      <c r="B5" s="76" t="s">
        <v>249</v>
      </c>
      <c r="C5" s="76"/>
      <c r="D5" s="76"/>
      <c r="E5" s="76"/>
    </row>
    <row r="6" spans="2:5" x14ac:dyDescent="0.55000000000000004">
      <c r="B6" s="33" t="s">
        <v>250</v>
      </c>
      <c r="C6" s="34">
        <f>ER!$C$32</f>
        <v>558888.40979999944</v>
      </c>
      <c r="D6" s="34">
        <f>ER!$D$32</f>
        <v>14156103.581172004</v>
      </c>
      <c r="E6" s="34">
        <f>ER!$E$32</f>
        <v>29759013.430206485</v>
      </c>
    </row>
    <row r="7" spans="2:5" x14ac:dyDescent="0.55000000000000004">
      <c r="B7" s="33" t="s">
        <v>251</v>
      </c>
      <c r="C7" s="25">
        <f>-(Cartera!$D$37-0)</f>
        <v>-88414270.560000002</v>
      </c>
      <c r="D7" s="25">
        <f>-(Cartera!$E$37-Cartera!$D$37)</f>
        <v>-100792268.4384</v>
      </c>
      <c r="E7" s="25">
        <f>-(Cartera!$F$37-Cartera!$E$37)</f>
        <v>-119147071.00665602</v>
      </c>
    </row>
    <row r="8" spans="2:5" x14ac:dyDescent="0.55000000000000004">
      <c r="B8" s="33" t="s">
        <v>252</v>
      </c>
      <c r="C8" s="25">
        <f>(-ER!$C$24*0.05)-0</f>
        <v>360005</v>
      </c>
      <c r="D8" s="25">
        <f>(-ER!$D$24*0.05)-(-ER!$C$24*0.05)</f>
        <v>52761.900000000023</v>
      </c>
      <c r="E8" s="25">
        <f>(-ER!$E$24*0.05)-(-ER!$D$24*0.05)</f>
        <v>71455.956000000064</v>
      </c>
    </row>
    <row r="9" spans="2:5" x14ac:dyDescent="0.55000000000000004">
      <c r="B9" s="33" t="s">
        <v>253</v>
      </c>
      <c r="C9" s="25">
        <f>0</f>
        <v>0</v>
      </c>
      <c r="D9" s="25">
        <f>Balance!C9-Balance!D9</f>
        <v>0</v>
      </c>
      <c r="E9" s="25">
        <f>Balance!D9-Balance!E9</f>
        <v>0</v>
      </c>
    </row>
    <row r="10" spans="2:5" x14ac:dyDescent="0.55000000000000004">
      <c r="B10" s="30" t="s">
        <v>254</v>
      </c>
      <c r="C10" s="26">
        <f>C6+C7+C8+C9</f>
        <v>-87495377.150200009</v>
      </c>
      <c r="D10" s="26">
        <f>D6+D7+D8+D9</f>
        <v>-86583402.95722799</v>
      </c>
      <c r="E10" s="26">
        <f>E6+E7+E8+E9</f>
        <v>-89316601.620449543</v>
      </c>
    </row>
    <row r="12" spans="2:5" x14ac:dyDescent="0.55000000000000004">
      <c r="B12" s="76" t="s">
        <v>255</v>
      </c>
      <c r="C12" s="76"/>
      <c r="D12" s="76"/>
      <c r="E12" s="76"/>
    </row>
    <row r="13" spans="2:5" x14ac:dyDescent="0.55000000000000004">
      <c r="B13" s="33" t="s">
        <v>256</v>
      </c>
      <c r="C13" s="41">
        <v>-250000</v>
      </c>
      <c r="D13" s="41">
        <v>0</v>
      </c>
      <c r="E13" s="41">
        <v>0</v>
      </c>
    </row>
    <row r="14" spans="2:5" x14ac:dyDescent="0.55000000000000004">
      <c r="B14" s="30" t="s">
        <v>257</v>
      </c>
      <c r="C14" s="26">
        <f>C13</f>
        <v>-250000</v>
      </c>
      <c r="D14" s="26">
        <f>D13</f>
        <v>0</v>
      </c>
      <c r="E14" s="26">
        <f>E13</f>
        <v>0</v>
      </c>
    </row>
    <row r="16" spans="2:5" x14ac:dyDescent="0.55000000000000004">
      <c r="B16" s="76" t="s">
        <v>258</v>
      </c>
      <c r="C16" s="76"/>
      <c r="D16" s="76"/>
      <c r="E16" s="76"/>
    </row>
    <row r="17" spans="2:5" x14ac:dyDescent="0.55000000000000004">
      <c r="B17" s="33" t="s">
        <v>259</v>
      </c>
      <c r="C17" s="25">
        <f>Balance!$C$14-0</f>
        <v>78200000</v>
      </c>
      <c r="D17" s="25">
        <f>Balance!$D$14-Balance!$C$14</f>
        <v>89148000</v>
      </c>
      <c r="E17" s="25">
        <f>Balance!$E$14-Balance!$D$14</f>
        <v>105382320</v>
      </c>
    </row>
    <row r="18" spans="2:5" x14ac:dyDescent="0.55000000000000004">
      <c r="B18" s="33" t="s">
        <v>260</v>
      </c>
      <c r="C18" s="34">
        <f>Supuestos!$D$46</f>
        <v>10000000</v>
      </c>
      <c r="D18" s="34">
        <v>0</v>
      </c>
      <c r="E18" s="34">
        <v>0</v>
      </c>
    </row>
    <row r="19" spans="2:5" x14ac:dyDescent="0.55000000000000004">
      <c r="B19" s="30" t="s">
        <v>261</v>
      </c>
      <c r="C19" s="26">
        <f>C17+C18</f>
        <v>88200000</v>
      </c>
      <c r="D19" s="26">
        <f>D17+D18</f>
        <v>89148000</v>
      </c>
      <c r="E19" s="26">
        <f>E17+E18</f>
        <v>105382320</v>
      </c>
    </row>
    <row r="21" spans="2:5" x14ac:dyDescent="0.55000000000000004">
      <c r="B21" s="30" t="s">
        <v>262</v>
      </c>
      <c r="C21" s="26">
        <f>C10+C14+C19</f>
        <v>454622.84979999065</v>
      </c>
      <c r="D21" s="26">
        <f>D10+D14+D19</f>
        <v>2564597.04277201</v>
      </c>
      <c r="E21" s="26">
        <f>E10+E14+E19</f>
        <v>16065718.379550457</v>
      </c>
    </row>
    <row r="23" spans="2:5" x14ac:dyDescent="0.55000000000000004">
      <c r="B23" s="33" t="s">
        <v>263</v>
      </c>
      <c r="C23" s="41">
        <v>0</v>
      </c>
      <c r="D23" s="34">
        <f>Balance!$C$10</f>
        <v>454622.84979999065</v>
      </c>
      <c r="E23" s="34">
        <f>Balance!$D$10</f>
        <v>3019219.8925720155</v>
      </c>
    </row>
    <row r="24" spans="2:5" x14ac:dyDescent="0.55000000000000004">
      <c r="B24" s="30" t="s">
        <v>264</v>
      </c>
      <c r="C24" s="26">
        <f>C23+C21</f>
        <v>454622.84979999065</v>
      </c>
      <c r="D24" s="26">
        <f>D23+D21</f>
        <v>3019219.8925720006</v>
      </c>
      <c r="E24" s="26">
        <f>E23+E21</f>
        <v>19084938.272122473</v>
      </c>
    </row>
    <row r="25" spans="2:5" x14ac:dyDescent="0.55000000000000004">
      <c r="B25" s="30" t="s">
        <v>265</v>
      </c>
      <c r="C25" s="46">
        <f>C24-Balance!$C$10</f>
        <v>0</v>
      </c>
      <c r="D25" s="46">
        <f>D24-Balance!$D$10</f>
        <v>-1.4901161193847656E-8</v>
      </c>
      <c r="E25" s="46">
        <f>E24-Balance!$E$10</f>
        <v>-2.9802322387695313E-8</v>
      </c>
    </row>
  </sheetData>
  <mergeCells count="4">
    <mergeCell ref="B2:E2"/>
    <mergeCell ref="B5:E5"/>
    <mergeCell ref="B12:E12"/>
    <mergeCell ref="B16:E16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44"/>
  <sheetViews>
    <sheetView showGridLines="0" topLeftCell="A24" zoomScaleNormal="100" workbookViewId="0">
      <selection activeCell="B41" sqref="B41:G44"/>
    </sheetView>
  </sheetViews>
  <sheetFormatPr baseColWidth="10" defaultColWidth="8.68359375" defaultRowHeight="14.4" x14ac:dyDescent="0.55000000000000004"/>
  <cols>
    <col min="1" max="1" width="2" customWidth="1"/>
    <col min="2" max="2" width="50" customWidth="1"/>
    <col min="3" max="7" width="18" customWidth="1"/>
  </cols>
  <sheetData>
    <row r="2" spans="2:7" ht="21.75" customHeight="1" x14ac:dyDescent="0.55000000000000004">
      <c r="B2" s="72" t="s">
        <v>266</v>
      </c>
      <c r="C2" s="72"/>
      <c r="D2" s="72"/>
      <c r="E2" s="72"/>
      <c r="F2" s="72"/>
      <c r="G2" s="72"/>
    </row>
    <row r="5" spans="2:7" ht="19.5" customHeight="1" x14ac:dyDescent="0.55000000000000004">
      <c r="C5" s="29" t="s">
        <v>267</v>
      </c>
      <c r="D5" s="29" t="s">
        <v>90</v>
      </c>
      <c r="E5" s="29" t="s">
        <v>91</v>
      </c>
      <c r="F5" s="29" t="s">
        <v>92</v>
      </c>
      <c r="G5" s="29" t="s">
        <v>268</v>
      </c>
    </row>
    <row r="6" spans="2:7" x14ac:dyDescent="0.55000000000000004">
      <c r="B6" s="76" t="s">
        <v>395</v>
      </c>
      <c r="C6" s="76"/>
      <c r="D6" s="76"/>
      <c r="E6" s="76"/>
      <c r="F6" s="76"/>
      <c r="G6" s="76"/>
    </row>
    <row r="7" spans="2:7" x14ac:dyDescent="0.55000000000000004">
      <c r="B7" s="33" t="s">
        <v>269</v>
      </c>
      <c r="C7" s="34">
        <v>0</v>
      </c>
      <c r="D7" s="34">
        <f>ER!$C$26</f>
        <v>887124.45999999903</v>
      </c>
      <c r="E7" s="34">
        <f>ER!$D$26</f>
        <v>22470005.684400007</v>
      </c>
      <c r="F7" s="34">
        <f>ER!$E$26</f>
        <v>47236529.254296005</v>
      </c>
    </row>
    <row r="8" spans="2:7" x14ac:dyDescent="0.55000000000000004">
      <c r="B8" s="33" t="s">
        <v>270</v>
      </c>
      <c r="C8" s="34">
        <v>0</v>
      </c>
      <c r="D8" s="34">
        <f>-ER!$C$12</f>
        <v>4104366.1000000006</v>
      </c>
      <c r="E8" s="34">
        <f>-ER!$D$12</f>
        <v>12887709.554000001</v>
      </c>
      <c r="F8" s="34">
        <f>-ER!$E$12</f>
        <v>23097730.664360002</v>
      </c>
    </row>
    <row r="9" spans="2:7" x14ac:dyDescent="0.55000000000000004">
      <c r="B9" s="30" t="s">
        <v>271</v>
      </c>
      <c r="C9" s="47">
        <f>C7+C8</f>
        <v>0</v>
      </c>
      <c r="D9" s="47">
        <f>D7+D8</f>
        <v>4991490.5599999996</v>
      </c>
      <c r="E9" s="47">
        <f>E7+E8</f>
        <v>35357715.238400012</v>
      </c>
      <c r="F9" s="47">
        <f>F7+F8</f>
        <v>70334259.918656006</v>
      </c>
    </row>
    <row r="10" spans="2:7" x14ac:dyDescent="0.55000000000000004">
      <c r="B10" s="33" t="s">
        <v>272</v>
      </c>
      <c r="C10" s="25">
        <v>0</v>
      </c>
      <c r="D10" s="25">
        <f>-MAX(0,D9)*(Supuestos!$D$122+Supuestos!$D$123*(1-Supuestos!$D$122))</f>
        <v>-1846851.5071999999</v>
      </c>
      <c r="E10" s="25">
        <f>-MAX(0,E9)*(Supuestos!$D$122+Supuestos!$D$123*(1-Supuestos!$D$122))</f>
        <v>-13082354.638208004</v>
      </c>
      <c r="F10" s="25">
        <f>-MAX(0,F9)*(Supuestos!$D$122+Supuestos!$D$123*(1-Supuestos!$D$122))</f>
        <v>-26023676.169902723</v>
      </c>
    </row>
    <row r="11" spans="2:7" x14ac:dyDescent="0.55000000000000004">
      <c r="B11" s="30" t="s">
        <v>273</v>
      </c>
      <c r="C11" s="47">
        <f>C9+C10</f>
        <v>0</v>
      </c>
      <c r="D11" s="47">
        <f>D9+D10</f>
        <v>3144639.0527999997</v>
      </c>
      <c r="E11" s="47">
        <f>E9+E10</f>
        <v>22275360.60019201</v>
      </c>
      <c r="F11" s="47">
        <f>F9+F10</f>
        <v>44310583.748753279</v>
      </c>
    </row>
    <row r="12" spans="2:7" x14ac:dyDescent="0.55000000000000004">
      <c r="B12" s="33" t="s">
        <v>274</v>
      </c>
      <c r="C12" s="25">
        <v>0</v>
      </c>
      <c r="D12" s="25">
        <f>Cartera!$D$35+0</f>
        <v>4835729.4399999995</v>
      </c>
      <c r="E12" s="25">
        <f>Cartera!$E$35+50000</f>
        <v>8062731.5615999997</v>
      </c>
      <c r="F12" s="25">
        <f>Cartera!$F$35+40000</f>
        <v>11906628.993343998</v>
      </c>
    </row>
    <row r="13" spans="2:7" x14ac:dyDescent="0.55000000000000004">
      <c r="B13" s="33" t="s">
        <v>393</v>
      </c>
      <c r="C13" s="25">
        <v>0</v>
      </c>
      <c r="D13" s="25">
        <f>-((Cartera!$D$37-0)-((-ER!$C$24*0.05)-0))</f>
        <v>-88054265.560000002</v>
      </c>
      <c r="E13" s="25">
        <f>-((Cartera!$E$37-Cartera!$D$37)-((-ER!$D$24*0.05)-(-ER!$C$24*0.05)))</f>
        <v>-100739506.53839999</v>
      </c>
      <c r="F13" s="25">
        <f>-((Cartera!$F$37-Cartera!$E$37)-((-ER!$E$24*0.05)-(-ER!$D$24*0.05)))</f>
        <v>-119075615.05065602</v>
      </c>
    </row>
    <row r="14" spans="2:7" x14ac:dyDescent="0.55000000000000004">
      <c r="B14" s="33" t="s">
        <v>275</v>
      </c>
      <c r="C14" s="41">
        <v>0</v>
      </c>
      <c r="D14" s="41">
        <v>-250000</v>
      </c>
      <c r="E14" s="41">
        <v>0</v>
      </c>
      <c r="F14" s="41">
        <v>0</v>
      </c>
    </row>
    <row r="15" spans="2:7" x14ac:dyDescent="0.55000000000000004">
      <c r="B15" s="30" t="s">
        <v>276</v>
      </c>
      <c r="C15" s="26">
        <f>C11+C12+C13+C14</f>
        <v>0</v>
      </c>
      <c r="D15" s="26">
        <f>D11+D12+D13+D14</f>
        <v>-80323897.067200005</v>
      </c>
      <c r="E15" s="26">
        <f>E11+E12+E13+E14</f>
        <v>-70401414.376607984</v>
      </c>
      <c r="F15" s="26">
        <f>F11+F12+F13+F14</f>
        <v>-62858402.308558747</v>
      </c>
    </row>
    <row r="17" spans="2:7" x14ac:dyDescent="0.55000000000000004">
      <c r="B17" s="76" t="s">
        <v>394</v>
      </c>
      <c r="C17" s="76"/>
      <c r="D17" s="76"/>
      <c r="E17" s="76"/>
      <c r="F17" s="76"/>
      <c r="G17" s="76"/>
    </row>
    <row r="18" spans="2:7" x14ac:dyDescent="0.55000000000000004">
      <c r="B18" s="33" t="s">
        <v>277</v>
      </c>
      <c r="C18" s="25">
        <f>C15</f>
        <v>0</v>
      </c>
      <c r="D18" s="25">
        <f>D15</f>
        <v>-80323897.067200005</v>
      </c>
      <c r="E18" s="25">
        <f>E15</f>
        <v>-70401414.376607984</v>
      </c>
      <c r="F18" s="25">
        <f>F15</f>
        <v>-62858402.308558747</v>
      </c>
    </row>
    <row r="19" spans="2:7" x14ac:dyDescent="0.55000000000000004">
      <c r="B19" s="33" t="s">
        <v>278</v>
      </c>
      <c r="C19" s="25">
        <v>0</v>
      </c>
      <c r="D19" s="25">
        <f>ER!$C$12*(1-Supuestos!$D$122-Supuestos!$D$123*(1-Supuestos!$D$122))</f>
        <v>-2585750.6430000002</v>
      </c>
      <c r="E19" s="25">
        <f>ER!$D$12*(1-Supuestos!$D$122-Supuestos!$D$123*(1-Supuestos!$D$122))</f>
        <v>-8119257.0190200014</v>
      </c>
      <c r="F19" s="25">
        <f>ER!$E$12*(1-Supuestos!$D$122-Supuestos!$D$123*(1-Supuestos!$D$122))</f>
        <v>-14551570.318546802</v>
      </c>
    </row>
    <row r="20" spans="2:7" x14ac:dyDescent="0.55000000000000004">
      <c r="B20" s="33" t="s">
        <v>279</v>
      </c>
      <c r="C20" s="25">
        <v>0</v>
      </c>
      <c r="D20" s="25">
        <f>Balance!$C$14-0</f>
        <v>78200000</v>
      </c>
      <c r="E20" s="25">
        <f>Balance!$D$14-Balance!$C$14</f>
        <v>89148000</v>
      </c>
      <c r="F20" s="25">
        <f>Balance!$E$14-Balance!$D$14</f>
        <v>105382320</v>
      </c>
    </row>
    <row r="21" spans="2:7" x14ac:dyDescent="0.55000000000000004">
      <c r="B21" s="30" t="s">
        <v>280</v>
      </c>
      <c r="C21" s="26">
        <f>C15+C19+C20</f>
        <v>0</v>
      </c>
      <c r="D21" s="26">
        <f>D15+D19+D20</f>
        <v>-4709647.7102000117</v>
      </c>
      <c r="E21" s="26">
        <f>E15+E19+E20</f>
        <v>10627328.60437201</v>
      </c>
      <c r="F21" s="26">
        <f>F15+F19+F20</f>
        <v>27972347.372894451</v>
      </c>
    </row>
    <row r="23" spans="2:7" x14ac:dyDescent="0.55000000000000004">
      <c r="B23" s="76" t="s">
        <v>281</v>
      </c>
      <c r="C23" s="76"/>
      <c r="D23" s="76"/>
      <c r="E23" s="76"/>
      <c r="F23" s="76"/>
      <c r="G23" s="76"/>
    </row>
    <row r="24" spans="2:7" x14ac:dyDescent="0.55000000000000004">
      <c r="B24" s="33" t="s">
        <v>282</v>
      </c>
      <c r="C24" s="34">
        <f>-Supuestos!$D$46</f>
        <v>-10000000</v>
      </c>
      <c r="D24" s="34">
        <v>0</v>
      </c>
      <c r="E24" s="34">
        <v>0</v>
      </c>
      <c r="F24" s="34">
        <v>0</v>
      </c>
    </row>
    <row r="25" spans="2:7" x14ac:dyDescent="0.55000000000000004">
      <c r="B25" s="33" t="s">
        <v>283</v>
      </c>
      <c r="C25" s="25">
        <f>C21</f>
        <v>0</v>
      </c>
      <c r="D25" s="25">
        <f>D21</f>
        <v>-4709647.7102000117</v>
      </c>
      <c r="E25" s="25">
        <f>E21</f>
        <v>10627328.60437201</v>
      </c>
      <c r="F25" s="25">
        <f>F21</f>
        <v>27972347.372894451</v>
      </c>
    </row>
    <row r="26" spans="2:7" x14ac:dyDescent="0.55000000000000004">
      <c r="B26" s="33" t="s">
        <v>284</v>
      </c>
      <c r="C26" s="25">
        <v>0</v>
      </c>
      <c r="D26" s="25">
        <v>0</v>
      </c>
      <c r="E26" s="25">
        <v>0</v>
      </c>
      <c r="F26" s="25">
        <f>ER!$E$32*Supuestos!$D$133</f>
        <v>0</v>
      </c>
    </row>
    <row r="27" spans="2:7" x14ac:dyDescent="0.55000000000000004">
      <c r="B27" s="30" t="s">
        <v>285</v>
      </c>
      <c r="C27" s="26">
        <f>C24+C25+C26</f>
        <v>-10000000</v>
      </c>
      <c r="D27" s="26">
        <f>D24+D25+D26</f>
        <v>-4709647.7102000117</v>
      </c>
      <c r="E27" s="26">
        <f>E24+E25+E26</f>
        <v>10627328.60437201</v>
      </c>
      <c r="F27" s="26">
        <f>F24+F25+F26</f>
        <v>27972347.372894451</v>
      </c>
    </row>
    <row r="29" spans="2:7" x14ac:dyDescent="0.55000000000000004">
      <c r="B29" s="76" t="s">
        <v>286</v>
      </c>
      <c r="C29" s="76"/>
      <c r="D29" s="76"/>
      <c r="E29" s="76"/>
      <c r="F29" s="76"/>
      <c r="G29" s="76"/>
    </row>
    <row r="30" spans="2:7" x14ac:dyDescent="0.55000000000000004">
      <c r="B30" s="33" t="s">
        <v>287</v>
      </c>
      <c r="C30" s="37">
        <v>0</v>
      </c>
      <c r="D30" s="37">
        <v>1</v>
      </c>
      <c r="E30" s="37">
        <v>2</v>
      </c>
      <c r="F30" s="37">
        <v>3</v>
      </c>
    </row>
    <row r="31" spans="2:7" x14ac:dyDescent="0.55000000000000004">
      <c r="B31" s="33" t="s">
        <v>288</v>
      </c>
      <c r="C31" s="48">
        <f>1/(1+Supuestos!$D$129)^C30</f>
        <v>1</v>
      </c>
      <c r="D31" s="48">
        <f>1/(1+Supuestos!$D$129)^D30</f>
        <v>0.7407407407407407</v>
      </c>
      <c r="E31" s="48">
        <f>1/(1+Supuestos!$D$129)^E30</f>
        <v>0.5486968449931412</v>
      </c>
      <c r="F31" s="48">
        <f>1/(1+Supuestos!$D$129)^F30</f>
        <v>0.40644210740232684</v>
      </c>
    </row>
    <row r="32" spans="2:7" x14ac:dyDescent="0.55000000000000004">
      <c r="B32" s="30" t="s">
        <v>289</v>
      </c>
      <c r="C32" s="35">
        <f>C27*C31</f>
        <v>-10000000</v>
      </c>
      <c r="D32" s="35">
        <f>D27*D31</f>
        <v>-3488627.9334814898</v>
      </c>
      <c r="E32" s="35">
        <f>E27*E31</f>
        <v>5831181.6759242844</v>
      </c>
      <c r="F32" s="35">
        <f>F27*F31</f>
        <v>11369139.815229161</v>
      </c>
      <c r="G32" s="26">
        <f>SUM(C32:F32)</f>
        <v>3711693.5576719549</v>
      </c>
    </row>
    <row r="34" spans="2:7" x14ac:dyDescent="0.55000000000000004">
      <c r="B34" s="76" t="s">
        <v>290</v>
      </c>
      <c r="C34" s="76"/>
      <c r="D34" s="76"/>
      <c r="E34" s="76"/>
      <c r="F34" s="76"/>
      <c r="G34" s="76"/>
    </row>
    <row r="35" spans="2:7" x14ac:dyDescent="0.55000000000000004">
      <c r="B35" s="30" t="s">
        <v>291</v>
      </c>
      <c r="D35" s="26">
        <f>G32</f>
        <v>3711693.5576719549</v>
      </c>
      <c r="E35" s="78"/>
      <c r="F35" s="78"/>
      <c r="G35" s="78"/>
    </row>
    <row r="36" spans="2:7" x14ac:dyDescent="0.55000000000000004">
      <c r="B36" s="30" t="s">
        <v>292</v>
      </c>
      <c r="D36" s="49">
        <f>IRR(C27:F27)</f>
        <v>0.49387010224766348</v>
      </c>
      <c r="E36" s="78"/>
      <c r="F36" s="78"/>
      <c r="G36" s="78"/>
    </row>
    <row r="37" spans="2:7" x14ac:dyDescent="0.55000000000000004">
      <c r="B37" s="30" t="s">
        <v>293</v>
      </c>
      <c r="D37" s="50">
        <f>(SUM(D25:F25)+F26)/Supuestos!$D$46</f>
        <v>3.389002826706645</v>
      </c>
      <c r="E37" s="78"/>
      <c r="F37" s="78"/>
      <c r="G37" s="78"/>
    </row>
    <row r="38" spans="2:7" x14ac:dyDescent="0.55000000000000004">
      <c r="B38" s="33" t="s">
        <v>294</v>
      </c>
      <c r="D38" s="25">
        <f>ER!$E$32*Supuestos!$D$132</f>
        <v>148795067.15103242</v>
      </c>
      <c r="E38" s="78"/>
      <c r="F38" s="78"/>
      <c r="G38" s="78"/>
    </row>
    <row r="39" spans="2:7" x14ac:dyDescent="0.55000000000000004">
      <c r="B39" s="33" t="s">
        <v>295</v>
      </c>
      <c r="D39" s="25">
        <f>D38/(1+Supuestos!$D$129)^3</f>
        <v>60476580.663936347</v>
      </c>
      <c r="E39" s="78"/>
      <c r="F39" s="78"/>
      <c r="G39" s="78"/>
    </row>
    <row r="41" spans="2:7" x14ac:dyDescent="0.55000000000000004">
      <c r="B41" s="79"/>
      <c r="C41" s="79"/>
      <c r="D41" s="79"/>
      <c r="E41" s="79"/>
      <c r="F41" s="79"/>
      <c r="G41" s="79"/>
    </row>
    <row r="42" spans="2:7" x14ac:dyDescent="0.55000000000000004">
      <c r="B42" s="79"/>
      <c r="C42" s="79"/>
      <c r="D42" s="79"/>
      <c r="E42" s="79"/>
      <c r="F42" s="79"/>
      <c r="G42" s="79"/>
    </row>
    <row r="43" spans="2:7" x14ac:dyDescent="0.55000000000000004">
      <c r="B43" s="79"/>
      <c r="C43" s="79"/>
      <c r="D43" s="79"/>
      <c r="E43" s="79"/>
      <c r="F43" s="79"/>
      <c r="G43" s="79"/>
    </row>
    <row r="44" spans="2:7" x14ac:dyDescent="0.55000000000000004">
      <c r="B44" s="79"/>
      <c r="C44" s="79"/>
      <c r="D44" s="79"/>
      <c r="E44" s="79"/>
      <c r="F44" s="79"/>
      <c r="G44" s="79"/>
    </row>
  </sheetData>
  <mergeCells count="12">
    <mergeCell ref="E39:G39"/>
    <mergeCell ref="B41:G44"/>
    <mergeCell ref="B29:G29"/>
    <mergeCell ref="B34:G34"/>
    <mergeCell ref="E35:G35"/>
    <mergeCell ref="E36:G36"/>
    <mergeCell ref="E37:G37"/>
    <mergeCell ref="B2:G2"/>
    <mergeCell ref="B6:G6"/>
    <mergeCell ref="B17:G17"/>
    <mergeCell ref="B23:G23"/>
    <mergeCell ref="E38:G38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F35"/>
  <sheetViews>
    <sheetView showGridLines="0" topLeftCell="A2" zoomScaleNormal="100" workbookViewId="0">
      <selection activeCell="J28" sqref="J28"/>
    </sheetView>
  </sheetViews>
  <sheetFormatPr baseColWidth="10" defaultColWidth="8.68359375" defaultRowHeight="14.4" x14ac:dyDescent="0.55000000000000004"/>
  <cols>
    <col min="1" max="1" width="2" customWidth="1"/>
    <col min="2" max="2" width="45" customWidth="1"/>
    <col min="3" max="5" width="18" customWidth="1"/>
    <col min="6" max="6" width="22" customWidth="1"/>
  </cols>
  <sheetData>
    <row r="2" spans="2:6" ht="21.75" customHeight="1" x14ac:dyDescent="0.55000000000000004">
      <c r="B2" s="72" t="s">
        <v>296</v>
      </c>
      <c r="C2" s="72"/>
      <c r="D2" s="72"/>
      <c r="E2" s="72"/>
      <c r="F2" s="72"/>
    </row>
    <row r="4" spans="2:6" ht="19.5" customHeight="1" x14ac:dyDescent="0.55000000000000004">
      <c r="C4" s="29" t="s">
        <v>90</v>
      </c>
      <c r="D4" s="29" t="s">
        <v>91</v>
      </c>
      <c r="E4" s="29" t="s">
        <v>92</v>
      </c>
      <c r="F4" s="29" t="s">
        <v>297</v>
      </c>
    </row>
    <row r="5" spans="2:6" x14ac:dyDescent="0.55000000000000004">
      <c r="B5" s="76" t="s">
        <v>298</v>
      </c>
      <c r="C5" s="76"/>
      <c r="D5" s="76"/>
      <c r="E5" s="76"/>
      <c r="F5" s="76"/>
    </row>
    <row r="6" spans="2:6" x14ac:dyDescent="0.55000000000000004">
      <c r="B6" s="33" t="s">
        <v>299</v>
      </c>
      <c r="C6" s="51">
        <f>ER!$C$32/((Supuestos!$D$46+Balance!$C$22)/2)</f>
        <v>5.4369516353188513E-2</v>
      </c>
      <c r="D6" s="51">
        <f>ER!$D$32/((Balance!$C$22+Balance!$D$22)/2)</f>
        <v>0.80263942726653814</v>
      </c>
      <c r="E6" s="51">
        <f>ER!$E$32/((Balance!$D$22+Balance!$E$22)/2)</f>
        <v>0.75159465084073307</v>
      </c>
      <c r="F6" s="52" t="s">
        <v>300</v>
      </c>
    </row>
    <row r="7" spans="2:6" x14ac:dyDescent="0.55000000000000004">
      <c r="B7" s="33" t="s">
        <v>301</v>
      </c>
      <c r="C7" s="42">
        <f>ER!$C$32/(Balance!$C$11/2)</f>
        <v>1.2542534773856182E-2</v>
      </c>
      <c r="D7" s="42">
        <f>ER!$D$32/((Balance!$C$11+Balance!$D$11)/2)</f>
        <v>0.1005424177306594</v>
      </c>
      <c r="E7" s="42">
        <f>ER!$E$32/((Balance!$D$11+Balance!$E$11)/2)</f>
        <v>0.11442158956357018</v>
      </c>
      <c r="F7" s="52" t="s">
        <v>302</v>
      </c>
    </row>
    <row r="8" spans="2:6" x14ac:dyDescent="0.55000000000000004">
      <c r="B8" s="33" t="s">
        <v>303</v>
      </c>
      <c r="C8" s="42">
        <f>(ER!$C$6+ER!$C$12)/Cartera!$D$13</f>
        <v>0.25919464999999997</v>
      </c>
      <c r="D8" s="42">
        <f>(ER!$D$6+ER!$D$12)/Cartera!$E$13</f>
        <v>0.25919465000000003</v>
      </c>
      <c r="E8" s="42">
        <f>(ER!$E$6+ER!$E$12)/Cartera!$F$13</f>
        <v>0.25919465000000003</v>
      </c>
      <c r="F8" s="52" t="s">
        <v>304</v>
      </c>
    </row>
    <row r="9" spans="2:6" x14ac:dyDescent="0.55000000000000004">
      <c r="B9" s="33" t="s">
        <v>305</v>
      </c>
      <c r="C9" s="42">
        <f>-ER!$C$24/ER!$C$14</f>
        <v>0.55715589916327113</v>
      </c>
      <c r="D9" s="42">
        <f>-ER!$D$24/ER!$D$14</f>
        <v>0.21310656111786103</v>
      </c>
      <c r="E9" s="42">
        <f>-ER!$E$24/ER!$E$14</f>
        <v>0.14078780123777765</v>
      </c>
      <c r="F9" s="52" t="s">
        <v>306</v>
      </c>
    </row>
    <row r="11" spans="2:6" x14ac:dyDescent="0.55000000000000004">
      <c r="B11" s="76" t="s">
        <v>307</v>
      </c>
      <c r="C11" s="76"/>
      <c r="D11" s="76"/>
      <c r="E11" s="76"/>
      <c r="F11" s="76"/>
    </row>
    <row r="12" spans="2:6" x14ac:dyDescent="0.55000000000000004">
      <c r="B12" s="33" t="s">
        <v>308</v>
      </c>
      <c r="C12" s="51">
        <f>Balance!$C$22/(Cartera!$D$11*Supuestos!$D$48)</f>
        <v>0.11477052619347825</v>
      </c>
      <c r="D12" s="51">
        <f>Balance!$D$22/(Cartera!$E$11*Supuestos!$D$48)</f>
        <v>0.12553327910895978</v>
      </c>
      <c r="E12" s="51">
        <f>Balance!$E$22/(Cartera!$F$11*Supuestos!$D$48)</f>
        <v>0.1697754199386475</v>
      </c>
      <c r="F12" s="52" t="s">
        <v>309</v>
      </c>
    </row>
    <row r="13" spans="2:6" x14ac:dyDescent="0.55000000000000004">
      <c r="B13" s="33" t="s">
        <v>310</v>
      </c>
      <c r="C13" s="42">
        <f>Balance!$C$16/Balance!$C$11</f>
        <v>0.8815190807941643</v>
      </c>
      <c r="D13" s="42">
        <f>Balance!$D$16/Balance!$D$11</f>
        <v>0.8715942613585338</v>
      </c>
      <c r="E13" s="42">
        <f>Balance!$E$16/Balance!$E$11</f>
        <v>0.83376286505105102</v>
      </c>
      <c r="F13" s="52" t="s">
        <v>311</v>
      </c>
    </row>
    <row r="15" spans="2:6" x14ac:dyDescent="0.55000000000000004">
      <c r="B15" s="76" t="s">
        <v>312</v>
      </c>
      <c r="C15" s="76"/>
      <c r="D15" s="76"/>
      <c r="E15" s="76"/>
      <c r="F15" s="76"/>
    </row>
    <row r="16" spans="2:6" x14ac:dyDescent="0.55000000000000004">
      <c r="B16" s="33" t="s">
        <v>313</v>
      </c>
      <c r="C16" s="53">
        <f>Cartera!$D$38</f>
        <v>0.03</v>
      </c>
      <c r="D16" s="53">
        <f>Cartera!$E$38</f>
        <v>0.03</v>
      </c>
      <c r="E16" s="53">
        <f>Cartera!$F$38</f>
        <v>0.03</v>
      </c>
      <c r="F16" s="52" t="s">
        <v>314</v>
      </c>
    </row>
    <row r="17" spans="2:6" x14ac:dyDescent="0.55000000000000004">
      <c r="B17" s="33" t="s">
        <v>315</v>
      </c>
      <c r="C17" s="53">
        <f>Cartera!$D$39</f>
        <v>4.3586956521739127E-2</v>
      </c>
      <c r="D17" s="53">
        <f>Cartera!$E$39</f>
        <v>4.9936001625355546E-2</v>
      </c>
      <c r="E17" s="53">
        <f>Cartera!$F$39</f>
        <v>5.1923946703102172E-2</v>
      </c>
      <c r="F17" s="52" t="s">
        <v>316</v>
      </c>
    </row>
    <row r="18" spans="2:6" x14ac:dyDescent="0.55000000000000004">
      <c r="B18" s="33" t="s">
        <v>317</v>
      </c>
      <c r="C18" s="54">
        <f>Cartera!$D$40</f>
        <v>1.2991773333333334</v>
      </c>
      <c r="D18" s="54">
        <f>Cartera!$E$40</f>
        <v>1.2991773333333334</v>
      </c>
      <c r="E18" s="54">
        <f>Cartera!$F$40</f>
        <v>1.2991773333333332</v>
      </c>
      <c r="F18" s="52" t="s">
        <v>318</v>
      </c>
    </row>
    <row r="19" spans="2:6" x14ac:dyDescent="0.55000000000000004">
      <c r="B19" s="33" t="s">
        <v>319</v>
      </c>
      <c r="C19" s="53">
        <f>Supuestos!$D$115</f>
        <v>2.5000000000000001E-2</v>
      </c>
      <c r="D19" s="53">
        <f>Supuestos!$D$115</f>
        <v>2.5000000000000001E-2</v>
      </c>
      <c r="E19" s="53">
        <f>Supuestos!$D$115</f>
        <v>2.5000000000000001E-2</v>
      </c>
      <c r="F19" s="52" t="s">
        <v>320</v>
      </c>
    </row>
    <row r="21" spans="2:6" x14ac:dyDescent="0.55000000000000004">
      <c r="B21" s="76" t="s">
        <v>321</v>
      </c>
      <c r="C21" s="76"/>
      <c r="D21" s="76"/>
      <c r="E21" s="76"/>
      <c r="F21" s="76"/>
    </row>
    <row r="22" spans="2:6" x14ac:dyDescent="0.55000000000000004">
      <c r="B22" s="33" t="s">
        <v>322</v>
      </c>
      <c r="C22" s="55" t="s">
        <v>323</v>
      </c>
      <c r="D22" s="42">
        <f>Cartera!$E$11/Cartera!$D$11-1</f>
        <v>1.1400000000000001</v>
      </c>
      <c r="E22" s="42">
        <f>Cartera!$F$11/Cartera!$E$11-1</f>
        <v>0.6297196261682243</v>
      </c>
    </row>
    <row r="23" spans="2:6" x14ac:dyDescent="0.55000000000000004">
      <c r="B23" s="33" t="s">
        <v>324</v>
      </c>
      <c r="C23" s="25">
        <f>ER!$C$32</f>
        <v>558888.40979999944</v>
      </c>
      <c r="D23" s="25">
        <f>ER!$C$32+ER!$D$32</f>
        <v>14714991.990972003</v>
      </c>
      <c r="E23" s="25">
        <f>ER!$C$32+ER!$D$32+ER!$E$32</f>
        <v>44474005.42117849</v>
      </c>
    </row>
    <row r="24" spans="2:6" x14ac:dyDescent="0.55000000000000004">
      <c r="B24" s="33" t="s">
        <v>325</v>
      </c>
      <c r="C24" s="56">
        <f>IF(C23&gt;=Supuestos!$D$46,1,IF(D23&gt;=Supuestos!$D$46,1+(Supuestos!$D$46-C23)/(D23-C23),IF(E23&gt;=Supuestos!$D$46,2+(Supuestos!$D$46-D23)/(E23-D23),99)))</f>
        <v>1.6669286881142162</v>
      </c>
      <c r="F24" s="52" t="s">
        <v>396</v>
      </c>
    </row>
    <row r="26" spans="2:6" x14ac:dyDescent="0.55000000000000004">
      <c r="B26" s="76" t="s">
        <v>326</v>
      </c>
      <c r="C26" s="76"/>
      <c r="D26" s="76"/>
      <c r="E26" s="76"/>
      <c r="F26" s="76"/>
    </row>
    <row r="27" spans="2:6" x14ac:dyDescent="0.55000000000000004">
      <c r="B27" s="33" t="s">
        <v>327</v>
      </c>
      <c r="C27" s="25">
        <f>Cartera!$D$11/Supuestos!$D$70</f>
        <v>11500000</v>
      </c>
      <c r="D27" s="25">
        <f>Cartera!$E$11/Supuestos!$E$70</f>
        <v>19688000</v>
      </c>
      <c r="E27" s="25">
        <f>Cartera!$F$11/Supuestos!$F$70</f>
        <v>24681476.923076924</v>
      </c>
    </row>
    <row r="28" spans="2:6" x14ac:dyDescent="0.55000000000000004">
      <c r="B28" s="33" t="s">
        <v>328</v>
      </c>
      <c r="C28" s="37">
        <f>Supuestos!$D$10/Supuestos!$D$70</f>
        <v>62.5</v>
      </c>
      <c r="D28" s="37">
        <f>Supuestos!$D$13/Supuestos!$E$70</f>
        <v>65</v>
      </c>
      <c r="E28" s="37">
        <f>Supuestos!$D$14/Supuestos!$F$70</f>
        <v>65</v>
      </c>
    </row>
    <row r="29" spans="2:6" x14ac:dyDescent="0.55000000000000004">
      <c r="B29" s="33" t="s">
        <v>329</v>
      </c>
      <c r="C29" s="42">
        <f>Supuestos!$D$98/(Supuestos!$D$29*Supuestos!$D$5)</f>
        <v>4.3051489581539523E-2</v>
      </c>
      <c r="D29" s="42">
        <f>Supuestos!$D$99/(Supuestos!$D$29*Supuestos!$D$5)</f>
        <v>3.874634062338557E-2</v>
      </c>
      <c r="E29" s="42">
        <f>Supuestos!$D$100/(Supuestos!$D$29*Supuestos!$D$5)</f>
        <v>3.2934389529877733E-2</v>
      </c>
      <c r="F29" s="52"/>
    </row>
    <row r="31" spans="2:6" x14ac:dyDescent="0.55000000000000004">
      <c r="B31" s="76" t="s">
        <v>330</v>
      </c>
      <c r="C31" s="76"/>
      <c r="D31" s="76"/>
      <c r="E31" s="76"/>
      <c r="F31" s="76"/>
    </row>
    <row r="32" spans="2:6" x14ac:dyDescent="0.55000000000000004">
      <c r="B32" s="30" t="s">
        <v>331</v>
      </c>
      <c r="C32" s="57">
        <f>'Cash Flows'!$D$35</f>
        <v>3711693.5576719549</v>
      </c>
      <c r="F32" s="52"/>
    </row>
    <row r="33" spans="2:6" x14ac:dyDescent="0.55000000000000004">
      <c r="B33" s="30" t="s">
        <v>332</v>
      </c>
      <c r="C33" s="58">
        <f>'Cash Flows'!$D$36</f>
        <v>0.49387010224766348</v>
      </c>
      <c r="F33" s="52"/>
    </row>
    <row r="34" spans="2:6" x14ac:dyDescent="0.55000000000000004">
      <c r="B34" s="33" t="s">
        <v>333</v>
      </c>
      <c r="C34" s="53">
        <f>Supuestos!$D$129</f>
        <v>0.35</v>
      </c>
      <c r="F34" s="52"/>
    </row>
    <row r="35" spans="2:6" x14ac:dyDescent="0.55000000000000004">
      <c r="B35" s="33" t="s">
        <v>334</v>
      </c>
      <c r="C35" s="54">
        <f>'Cash Flows'!$D$37</f>
        <v>3.389002826706645</v>
      </c>
      <c r="F35" s="52" t="s">
        <v>397</v>
      </c>
    </row>
  </sheetData>
  <mergeCells count="7">
    <mergeCell ref="B26:F26"/>
    <mergeCell ref="B31:F31"/>
    <mergeCell ref="B2:F2"/>
    <mergeCell ref="B5:F5"/>
    <mergeCell ref="B11:F11"/>
    <mergeCell ref="B15:F15"/>
    <mergeCell ref="B21:F2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I30"/>
  <sheetViews>
    <sheetView showGridLines="0" topLeftCell="A9" zoomScaleNormal="100" workbookViewId="0">
      <selection activeCell="D31" sqref="D31"/>
    </sheetView>
  </sheetViews>
  <sheetFormatPr baseColWidth="10" defaultColWidth="8.68359375" defaultRowHeight="14.4" x14ac:dyDescent="0.55000000000000004"/>
  <cols>
    <col min="1" max="1" width="2" customWidth="1"/>
    <col min="2" max="2" width="35" customWidth="1"/>
    <col min="3" max="9" width="14" customWidth="1"/>
  </cols>
  <sheetData>
    <row r="2" spans="2:9" ht="21.75" customHeight="1" x14ac:dyDescent="0.55000000000000004">
      <c r="B2" s="72" t="s">
        <v>398</v>
      </c>
      <c r="C2" s="72"/>
      <c r="D2" s="72"/>
      <c r="E2" s="72"/>
      <c r="F2" s="72"/>
      <c r="G2" s="72"/>
      <c r="H2" s="72"/>
      <c r="I2" s="72"/>
    </row>
    <row r="5" spans="2:9" x14ac:dyDescent="0.55000000000000004">
      <c r="B5" s="76" t="s">
        <v>399</v>
      </c>
      <c r="C5" s="76"/>
      <c r="D5" s="76"/>
      <c r="E5" s="76"/>
      <c r="F5" s="76"/>
      <c r="G5" s="76"/>
      <c r="H5" s="76"/>
      <c r="I5" s="76"/>
    </row>
    <row r="7" spans="2:9" x14ac:dyDescent="0.55000000000000004">
      <c r="B7" s="33" t="s">
        <v>335</v>
      </c>
      <c r="D7" s="53">
        <f>Supuestos!$D$35</f>
        <v>3.7379999999999997E-2</v>
      </c>
      <c r="F7" s="33" t="s">
        <v>336</v>
      </c>
      <c r="H7" s="59">
        <f>Supuestos!$D$36</f>
        <v>0.45</v>
      </c>
    </row>
    <row r="9" spans="2:9" x14ac:dyDescent="0.55000000000000004">
      <c r="B9" s="29" t="s">
        <v>337</v>
      </c>
      <c r="C9" s="60">
        <v>0.25</v>
      </c>
      <c r="D9" s="60">
        <v>0.35</v>
      </c>
      <c r="E9" s="60">
        <v>0.45</v>
      </c>
      <c r="F9" s="60">
        <v>0.55000000000000004</v>
      </c>
      <c r="G9" s="60">
        <v>0.65</v>
      </c>
    </row>
    <row r="10" spans="2:9" x14ac:dyDescent="0.55000000000000004">
      <c r="B10" s="60">
        <v>0.03</v>
      </c>
      <c r="C10" s="61">
        <f>Indicadores!$E$7 + (-(($B$10*C$9 - $D$7*$H$7)*Cartera!$F$11)*(1-Supuestos!$D$122-Supuestos!$D$123*(1-Supuestos!$D$122)))/((Balance!$D$22+Balance!$E$22)/2)</f>
        <v>0.1620079735711773</v>
      </c>
      <c r="D10" s="61">
        <f>Indicadores!$E$7 + (-(($B$10*D$9 - $D$7*$H$7)*Cartera!$F$11)*(1-Supuestos!$D$122-Supuestos!$D$123*(1-Supuestos!$D$122)))/((Balance!$D$22+Balance!$E$22)/2)</f>
        <v>0.14669211132218885</v>
      </c>
      <c r="E10" s="61">
        <f>Indicadores!$E$7 + (-(($B$10*E$9 - $D$7*$H$7)*Cartera!$F$11)*(1-Supuestos!$D$122-Supuestos!$D$123*(1-Supuestos!$D$122)))/((Balance!$D$22+Balance!$E$22)/2)</f>
        <v>0.13137624907320039</v>
      </c>
      <c r="F10" s="61">
        <f>Indicadores!$E$7 + (-(($B$10*F$9 - $D$7*$H$7)*Cartera!$F$11)*(1-Supuestos!$D$122-Supuestos!$D$123*(1-Supuestos!$D$122)))/((Balance!$D$22+Balance!$E$22)/2)</f>
        <v>0.11606038682421194</v>
      </c>
      <c r="G10" s="61">
        <f>Indicadores!$E$7 + (-(($B$10*G$9 - $D$7*$H$7)*Cartera!$F$11)*(1-Supuestos!$D$122-Supuestos!$D$123*(1-Supuestos!$D$122)))/((Balance!$D$22+Balance!$E$22)/2)</f>
        <v>0.1007445245752235</v>
      </c>
    </row>
    <row r="11" spans="2:9" x14ac:dyDescent="0.55000000000000004">
      <c r="B11" s="60">
        <v>4.4999999999999998E-2</v>
      </c>
      <c r="C11" s="61">
        <f>Indicadores!$E$7 + (-(($B$11*C$9 - $D$7*$H$7)*Cartera!$F$11)*(1-Supuestos!$D$122-Supuestos!$D$123*(1-Supuestos!$D$122)))/((Balance!$D$22+Balance!$E$22)/2)</f>
        <v>0.14286314575994172</v>
      </c>
      <c r="D11" s="61">
        <f>Indicadores!$E$7 + (-(($B$11*D$9 - $D$7*$H$7)*Cartera!$F$11)*(1-Supuestos!$D$122-Supuestos!$D$123*(1-Supuestos!$D$122)))/((Balance!$D$22+Balance!$E$22)/2)</f>
        <v>0.11988935238645905</v>
      </c>
      <c r="E11" s="61">
        <f>Indicadores!$E$7 + (-(($B$11*E$9 - $D$7*$H$7)*Cartera!$F$11)*(1-Supuestos!$D$122-Supuestos!$D$123*(1-Supuestos!$D$122)))/((Balance!$D$22+Balance!$E$22)/2)</f>
        <v>9.6915559012976382E-2</v>
      </c>
      <c r="F11" s="61">
        <f>Indicadores!$E$7 + (-(($B$11*F$9 - $D$7*$H$7)*Cartera!$F$11)*(1-Supuestos!$D$122-Supuestos!$D$123*(1-Supuestos!$D$122)))/((Balance!$D$22+Balance!$E$22)/2)</f>
        <v>7.3941765639493701E-2</v>
      </c>
      <c r="G11" s="61">
        <f>Indicadores!$E$7 + (-(($B$11*G$9 - $D$7*$H$7)*Cartera!$F$11)*(1-Supuestos!$D$122-Supuestos!$D$123*(1-Supuestos!$D$122)))/((Balance!$D$22+Balance!$E$22)/2)</f>
        <v>5.0967972266011033E-2</v>
      </c>
    </row>
    <row r="12" spans="2:9" x14ac:dyDescent="0.55000000000000004">
      <c r="B12" s="60">
        <v>0.06</v>
      </c>
      <c r="C12" s="61">
        <f>Indicadores!$E$7 + (-(($B$12*C$9 - $D$7*$H$7)*Cartera!$F$11)*(1-Supuestos!$D$122-Supuestos!$D$123*(1-Supuestos!$D$122)))/((Balance!$D$22+Balance!$E$22)/2)</f>
        <v>0.12371831794870616</v>
      </c>
      <c r="D12" s="61">
        <f>Indicadores!$E$7 + (-(($B$12*D$9 - $D$7*$H$7)*Cartera!$F$11)*(1-Supuestos!$D$122-Supuestos!$D$123*(1-Supuestos!$D$122)))/((Balance!$D$22+Balance!$E$22)/2)</f>
        <v>9.3086593450729282E-2</v>
      </c>
      <c r="E12" s="61">
        <f>Indicadores!$E$7 + (-(($B$12*E$9 - $D$7*$H$7)*Cartera!$F$11)*(1-Supuestos!$D$122-Supuestos!$D$123*(1-Supuestos!$D$122)))/((Balance!$D$22+Balance!$E$22)/2)</f>
        <v>6.245486895275236E-2</v>
      </c>
      <c r="F12" s="61">
        <f>Indicadores!$E$7 + (-(($B$12*F$9 - $D$7*$H$7)*Cartera!$F$11)*(1-Supuestos!$D$122-Supuestos!$D$123*(1-Supuestos!$D$122)))/((Balance!$D$22+Balance!$E$22)/2)</f>
        <v>3.1823144454775451E-2</v>
      </c>
      <c r="G12" s="61">
        <f>Indicadores!$E$7 + (-(($B$12*G$9 - $D$7*$H$7)*Cartera!$F$11)*(1-Supuestos!$D$122-Supuestos!$D$123*(1-Supuestos!$D$122)))/((Balance!$D$22+Balance!$E$22)/2)</f>
        <v>1.1914199567985562E-3</v>
      </c>
    </row>
    <row r="13" spans="2:9" x14ac:dyDescent="0.55000000000000004">
      <c r="B13" s="60">
        <v>7.4999999999999997E-2</v>
      </c>
      <c r="C13" s="61">
        <f>Indicadores!$E$7 + (-(($B$13*C$9 - $D$7*$H$7)*Cartera!$F$11)*(1-Supuestos!$D$122-Supuestos!$D$123*(1-Supuestos!$D$122)))/((Balance!$D$22+Balance!$E$22)/2)</f>
        <v>0.10457349013747061</v>
      </c>
      <c r="D13" s="61">
        <f>Indicadores!$E$7 + (-(($B$13*D$9 - $D$7*$H$7)*Cartera!$F$11)*(1-Supuestos!$D$122-Supuestos!$D$123*(1-Supuestos!$D$122)))/((Balance!$D$22+Balance!$E$22)/2)</f>
        <v>6.6283834514999473E-2</v>
      </c>
      <c r="E13" s="61">
        <f>Indicadores!$E$7 + (-(($B$13*E$9 - $D$7*$H$7)*Cartera!$F$11)*(1-Supuestos!$D$122-Supuestos!$D$123*(1-Supuestos!$D$122)))/((Balance!$D$22+Balance!$E$22)/2)</f>
        <v>2.7994178892528337E-2</v>
      </c>
      <c r="F13" s="61">
        <f>Indicadores!$E$7 + (-(($B$13*F$9 - $D$7*$H$7)*Cartera!$F$11)*(1-Supuestos!$D$122-Supuestos!$D$123*(1-Supuestos!$D$122)))/((Balance!$D$22+Balance!$E$22)/2)</f>
        <v>-1.0295476729942785E-2</v>
      </c>
      <c r="G13" s="61">
        <f>Indicadores!$E$7 + (-(($B$13*G$9 - $D$7*$H$7)*Cartera!$F$11)*(1-Supuestos!$D$122-Supuestos!$D$123*(1-Supuestos!$D$122)))/((Balance!$D$22+Balance!$E$22)/2)</f>
        <v>-4.8585132352413907E-2</v>
      </c>
    </row>
    <row r="14" spans="2:9" x14ac:dyDescent="0.55000000000000004">
      <c r="B14" s="60">
        <v>0.09</v>
      </c>
      <c r="C14" s="61">
        <f>Indicadores!$E$7 + (-(($B$14*C$9 - $D$7*$H$7)*Cartera!$F$11)*(1-Supuestos!$D$122-Supuestos!$D$123*(1-Supuestos!$D$122)))/((Balance!$D$22+Balance!$E$22)/2)</f>
        <v>8.5428662326235041E-2</v>
      </c>
      <c r="D14" s="61">
        <f>Indicadores!$E$7 + (-(($B$14*D$9 - $D$7*$H$7)*Cartera!$F$11)*(1-Supuestos!$D$122-Supuestos!$D$123*(1-Supuestos!$D$122)))/((Balance!$D$22+Balance!$E$22)/2)</f>
        <v>3.9481075579269692E-2</v>
      </c>
      <c r="E14" s="61">
        <f>Indicadores!$E$7 + (-(($B$14*E$9 - $D$7*$H$7)*Cartera!$F$11)*(1-Supuestos!$D$122-Supuestos!$D$123*(1-Supuestos!$D$122)))/((Balance!$D$22+Balance!$E$22)/2)</f>
        <v>-6.466511167695671E-3</v>
      </c>
      <c r="F14" s="61">
        <f>Indicadores!$E$7 + (-(($B$14*F$9 - $D$7*$H$7)*Cartera!$F$11)*(1-Supuestos!$D$122-Supuestos!$D$123*(1-Supuestos!$D$122)))/((Balance!$D$22+Balance!$E$22)/2)</f>
        <v>-5.2414097914661034E-2</v>
      </c>
      <c r="G14" s="61">
        <f>Indicadores!$E$7 + (-(($B$14*G$9 - $D$7*$H$7)*Cartera!$F$11)*(1-Supuestos!$D$122-Supuestos!$D$123*(1-Supuestos!$D$122)))/((Balance!$D$22+Balance!$E$22)/2)</f>
        <v>-9.8361684661626342E-2</v>
      </c>
    </row>
    <row r="17" spans="2:9" x14ac:dyDescent="0.55000000000000004">
      <c r="B17" s="76" t="s">
        <v>400</v>
      </c>
      <c r="C17" s="76"/>
      <c r="D17" s="76"/>
      <c r="E17" s="76"/>
      <c r="F17" s="76"/>
      <c r="G17" s="76"/>
      <c r="H17" s="76"/>
      <c r="I17" s="76"/>
    </row>
    <row r="19" spans="2:9" x14ac:dyDescent="0.55000000000000004">
      <c r="B19" s="33" t="s">
        <v>338</v>
      </c>
      <c r="D19" s="62">
        <f>Supuestos!$D$10</f>
        <v>500</v>
      </c>
      <c r="F19" s="33" t="s">
        <v>339</v>
      </c>
      <c r="H19" s="53">
        <f>Supuestos!$D$41</f>
        <v>3.5000000000000003E-2</v>
      </c>
    </row>
    <row r="21" spans="2:9" x14ac:dyDescent="0.55000000000000004">
      <c r="B21" s="29" t="s">
        <v>340</v>
      </c>
      <c r="C21" s="63">
        <v>0.02</v>
      </c>
      <c r="D21" s="63">
        <v>2.75E-2</v>
      </c>
      <c r="E21" s="63">
        <v>3.5000000000000003E-2</v>
      </c>
      <c r="F21" s="63">
        <v>4.2500000000000003E-2</v>
      </c>
      <c r="G21" s="63">
        <v>0.05</v>
      </c>
    </row>
    <row r="22" spans="2:9" x14ac:dyDescent="0.55000000000000004">
      <c r="B22" s="64">
        <v>300</v>
      </c>
      <c r="C22" s="15">
        <f>($B$22/Supuestos!$D$10) * ER!$E$32 - (C$21-Supuestos!$D$41) * ER!$E$11 * ($B$22/Supuestos!$D$10) * (1-Supuestos!$D$122-Supuestos!$D$123*(1-Supuestos!$D$122))</f>
        <v>19103030.09532389</v>
      </c>
      <c r="D22" s="15">
        <f>($B$22/Supuestos!$D$10) * ER!$E$32 - (D$21-Supuestos!$D$41) * ER!$E$11 * ($B$22/Supuestos!$D$10) * (1-Supuestos!$D$122-Supuestos!$D$123*(1-Supuestos!$D$122))</f>
        <v>18479219.076723892</v>
      </c>
      <c r="E22" s="15">
        <f>($B$22/Supuestos!$D$10) * ER!$E$32 - (E$21-Supuestos!$D$41) * ER!$E$11 * ($B$22/Supuestos!$D$10) * (1-Supuestos!$D$122-Supuestos!$D$123*(1-Supuestos!$D$122))</f>
        <v>17855408.05812389</v>
      </c>
      <c r="F22" s="15">
        <f>($B$22/Supuestos!$D$10) * ER!$E$32 - (F$21-Supuestos!$D$41) * ER!$E$11 * ($B$22/Supuestos!$D$10) * (1-Supuestos!$D$122-Supuestos!$D$123*(1-Supuestos!$D$122))</f>
        <v>17231597.039523892</v>
      </c>
      <c r="G22" s="15">
        <f>($B$22/Supuestos!$D$10) * ER!$E$32 - (G$21-Supuestos!$D$41) * ER!$E$11 * ($B$22/Supuestos!$D$10) * (1-Supuestos!$D$122-Supuestos!$D$123*(1-Supuestos!$D$122))</f>
        <v>16607786.02092389</v>
      </c>
    </row>
    <row r="23" spans="2:9" x14ac:dyDescent="0.55000000000000004">
      <c r="B23" s="64">
        <v>400</v>
      </c>
      <c r="C23" s="15">
        <f>($B$23/Supuestos!$D$10) * ER!$E$32 - (C$21-Supuestos!$D$41) * ER!$E$11 * ($B$23/Supuestos!$D$10) * (1-Supuestos!$D$122-Supuestos!$D$123*(1-Supuestos!$D$122))</f>
        <v>25470706.793765191</v>
      </c>
      <c r="D23" s="15">
        <f>($B$23/Supuestos!$D$10) * ER!$E$32 - (D$21-Supuestos!$D$41) * ER!$E$11 * ($B$23/Supuestos!$D$10) * (1-Supuestos!$D$122-Supuestos!$D$123*(1-Supuestos!$D$122))</f>
        <v>24638958.768965188</v>
      </c>
      <c r="E23" s="15">
        <f>($B$23/Supuestos!$D$10) * ER!$E$32 - (E$21-Supuestos!$D$41) * ER!$E$11 * ($B$23/Supuestos!$D$10) * (1-Supuestos!$D$122-Supuestos!$D$123*(1-Supuestos!$D$122))</f>
        <v>23807210.74416519</v>
      </c>
      <c r="F23" s="15">
        <f>($B$23/Supuestos!$D$10) * ER!$E$32 - (F$21-Supuestos!$D$41) * ER!$E$11 * ($B$23/Supuestos!$D$10) * (1-Supuestos!$D$122-Supuestos!$D$123*(1-Supuestos!$D$122))</f>
        <v>22975462.719365191</v>
      </c>
      <c r="G23" s="15">
        <f>($B$23/Supuestos!$D$10) * ER!$E$32 - (G$21-Supuestos!$D$41) * ER!$E$11 * ($B$23/Supuestos!$D$10) * (1-Supuestos!$D$122-Supuestos!$D$123*(1-Supuestos!$D$122))</f>
        <v>22143714.694565188</v>
      </c>
    </row>
    <row r="24" spans="2:9" x14ac:dyDescent="0.55000000000000004">
      <c r="B24" s="64">
        <v>500</v>
      </c>
      <c r="C24" s="15">
        <f>($B$24/Supuestos!$D$10) * ER!$E$32 - (C$21-Supuestos!$D$41) * ER!$E$11 * ($B$24/Supuestos!$D$10) * (1-Supuestos!$D$122-Supuestos!$D$123*(1-Supuestos!$D$122))</f>
        <v>31838383.492206484</v>
      </c>
      <c r="D24" s="15">
        <f>($B$24/Supuestos!$D$10) * ER!$E$32 - (D$21-Supuestos!$D$41) * ER!$E$11 * ($B$24/Supuestos!$D$10) * (1-Supuestos!$D$122-Supuestos!$D$123*(1-Supuestos!$D$122))</f>
        <v>30798698.461206485</v>
      </c>
      <c r="E24" s="15">
        <f>($B$24/Supuestos!$D$10) * ER!$E$32 - (E$21-Supuestos!$D$41) * ER!$E$11 * ($B$24/Supuestos!$D$10) * (1-Supuestos!$D$122-Supuestos!$D$123*(1-Supuestos!$D$122))</f>
        <v>29759013.430206485</v>
      </c>
      <c r="F24" s="15">
        <f>($B$24/Supuestos!$D$10) * ER!$E$32 - (F$21-Supuestos!$D$41) * ER!$E$11 * ($B$24/Supuestos!$D$10) * (1-Supuestos!$D$122-Supuestos!$D$123*(1-Supuestos!$D$122))</f>
        <v>28719328.399206486</v>
      </c>
      <c r="G24" s="15">
        <f>($B$24/Supuestos!$D$10) * ER!$E$32 - (G$21-Supuestos!$D$41) * ER!$E$11 * ($B$24/Supuestos!$D$10) * (1-Supuestos!$D$122-Supuestos!$D$123*(1-Supuestos!$D$122))</f>
        <v>27679643.368206486</v>
      </c>
    </row>
    <row r="25" spans="2:9" x14ac:dyDescent="0.55000000000000004">
      <c r="B25" s="64">
        <v>600</v>
      </c>
      <c r="C25" s="15">
        <f>($B$25/Supuestos!$D$10) * ER!$E$32 - (C$21-Supuestos!$D$41) * ER!$E$11 * ($B$25/Supuestos!$D$10) * (1-Supuestos!$D$122-Supuestos!$D$123*(1-Supuestos!$D$122))</f>
        <v>38206060.190647781</v>
      </c>
      <c r="D25" s="15">
        <f>($B$25/Supuestos!$D$10) * ER!$E$32 - (D$21-Supuestos!$D$41) * ER!$E$11 * ($B$25/Supuestos!$D$10) * (1-Supuestos!$D$122-Supuestos!$D$123*(1-Supuestos!$D$122))</f>
        <v>36958438.153447784</v>
      </c>
      <c r="E25" s="15">
        <f>($B$25/Supuestos!$D$10) * ER!$E$32 - (E$21-Supuestos!$D$41) * ER!$E$11 * ($B$25/Supuestos!$D$10) * (1-Supuestos!$D$122-Supuestos!$D$123*(1-Supuestos!$D$122))</f>
        <v>35710816.116247781</v>
      </c>
      <c r="F25" s="15">
        <f>($B$25/Supuestos!$D$10) * ER!$E$32 - (F$21-Supuestos!$D$41) * ER!$E$11 * ($B$25/Supuestos!$D$10) * (1-Supuestos!$D$122-Supuestos!$D$123*(1-Supuestos!$D$122))</f>
        <v>34463194.079047784</v>
      </c>
      <c r="G25" s="15">
        <f>($B$25/Supuestos!$D$10) * ER!$E$32 - (G$21-Supuestos!$D$41) * ER!$E$11 * ($B$25/Supuestos!$D$10) * (1-Supuestos!$D$122-Supuestos!$D$123*(1-Supuestos!$D$122))</f>
        <v>33215572.04184778</v>
      </c>
    </row>
    <row r="26" spans="2:9" x14ac:dyDescent="0.55000000000000004">
      <c r="B26" s="64">
        <v>700</v>
      </c>
      <c r="C26" s="15">
        <f>($B$26/Supuestos!$D$10) * ER!$E$32 - (C$21-Supuestos!$D$41) * ER!$E$11 * ($B$26/Supuestos!$D$10) * (1-Supuestos!$D$122-Supuestos!$D$123*(1-Supuestos!$D$122))</f>
        <v>44573736.889089078</v>
      </c>
      <c r="D26" s="15">
        <f>($B$26/Supuestos!$D$10) * ER!$E$32 - (D$21-Supuestos!$D$41) * ER!$E$11 * ($B$26/Supuestos!$D$10) * (1-Supuestos!$D$122-Supuestos!$D$123*(1-Supuestos!$D$122))</f>
        <v>43118177.845689073</v>
      </c>
      <c r="E26" s="15">
        <f>($B$26/Supuestos!$D$10) * ER!$E$32 - (E$21-Supuestos!$D$41) * ER!$E$11 * ($B$26/Supuestos!$D$10) * (1-Supuestos!$D$122-Supuestos!$D$123*(1-Supuestos!$D$122))</f>
        <v>41662618.802289076</v>
      </c>
      <c r="F26" s="15">
        <f>($B$26/Supuestos!$D$10) * ER!$E$32 - (F$21-Supuestos!$D$41) * ER!$E$11 * ($B$26/Supuestos!$D$10) * (1-Supuestos!$D$122-Supuestos!$D$123*(1-Supuestos!$D$122))</f>
        <v>40207059.758889079</v>
      </c>
      <c r="G26" s="15">
        <f>($B$26/Supuestos!$D$10) * ER!$E$32 - (G$21-Supuestos!$D$41) * ER!$E$11 * ($B$26/Supuestos!$D$10) * (1-Supuestos!$D$122-Supuestos!$D$123*(1-Supuestos!$D$122))</f>
        <v>38751500.715489075</v>
      </c>
    </row>
    <row r="29" spans="2:9" x14ac:dyDescent="0.55000000000000004">
      <c r="B29" s="79"/>
      <c r="C29" s="79"/>
      <c r="D29" s="79"/>
      <c r="E29" s="79"/>
      <c r="F29" s="79"/>
      <c r="G29" s="79"/>
      <c r="H29" s="79"/>
      <c r="I29" s="79"/>
    </row>
    <row r="30" spans="2:9" x14ac:dyDescent="0.55000000000000004">
      <c r="B30" s="79"/>
      <c r="C30" s="79"/>
      <c r="D30" s="79"/>
      <c r="E30" s="79"/>
      <c r="F30" s="79"/>
      <c r="G30" s="79"/>
      <c r="H30" s="79"/>
      <c r="I30" s="79"/>
    </row>
  </sheetData>
  <mergeCells count="4">
    <mergeCell ref="B2:I2"/>
    <mergeCell ref="B5:I5"/>
    <mergeCell ref="B17:I17"/>
    <mergeCell ref="B29:I30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23"/>
  <sheetViews>
    <sheetView showGridLines="0" topLeftCell="A5" zoomScaleNormal="100" workbookViewId="0">
      <selection activeCell="B3" sqref="B3"/>
    </sheetView>
  </sheetViews>
  <sheetFormatPr baseColWidth="10" defaultColWidth="8.68359375" defaultRowHeight="14.4" x14ac:dyDescent="0.55000000000000004"/>
  <cols>
    <col min="1" max="1" width="2" customWidth="1"/>
    <col min="2" max="2" width="50" customWidth="1"/>
    <col min="3" max="5" width="18" customWidth="1"/>
    <col min="6" max="6" width="12" customWidth="1"/>
  </cols>
  <sheetData>
    <row r="2" spans="2:6" ht="21.75" customHeight="1" x14ac:dyDescent="0.55000000000000004">
      <c r="B2" s="72" t="s">
        <v>403</v>
      </c>
      <c r="C2" s="72"/>
      <c r="D2" s="72"/>
      <c r="E2" s="72"/>
      <c r="F2" s="72"/>
    </row>
    <row r="5" spans="2:6" ht="19.5" customHeight="1" x14ac:dyDescent="0.55000000000000004">
      <c r="C5" s="29" t="s">
        <v>90</v>
      </c>
      <c r="D5" s="29" t="s">
        <v>91</v>
      </c>
      <c r="E5" s="29" t="s">
        <v>92</v>
      </c>
      <c r="F5" s="29" t="s">
        <v>341</v>
      </c>
    </row>
    <row r="6" spans="2:6" ht="18.3" x14ac:dyDescent="0.55000000000000004">
      <c r="B6" s="33" t="s">
        <v>342</v>
      </c>
      <c r="C6" s="65">
        <f>Supuestos!$D$23</f>
        <v>1</v>
      </c>
      <c r="F6" s="66" t="str">
        <f>IF(ABS(C6-1)&lt;0.0001,"ok","x")</f>
        <v>ok</v>
      </c>
    </row>
    <row r="7" spans="2:6" ht="18.3" x14ac:dyDescent="0.55000000000000004">
      <c r="B7" s="33" t="s">
        <v>343</v>
      </c>
      <c r="C7" s="65">
        <f>Supuestos!$D$109</f>
        <v>1</v>
      </c>
      <c r="F7" s="66" t="str">
        <f>IF(ABS(C7-1)&lt;0.0001,"ok","x")</f>
        <v>ok</v>
      </c>
    </row>
    <row r="8" spans="2:6" ht="18.3" x14ac:dyDescent="0.55000000000000004">
      <c r="B8" s="33" t="s">
        <v>344</v>
      </c>
      <c r="C8" s="25">
        <f>Balance!$C$11-Balance!$C$16-Balance!$C$22</f>
        <v>0</v>
      </c>
      <c r="D8" s="25">
        <f>Balance!$D$11-Balance!$D$16-Balance!$D$22</f>
        <v>0</v>
      </c>
      <c r="E8" s="25">
        <f>Balance!$E$11-Balance!$E$16-Balance!$E$22</f>
        <v>0</v>
      </c>
      <c r="F8" s="66" t="str">
        <f>IF(AND(ABS(C8)&lt;1,ABS(D8)&lt;1,ABS(E8)&lt;1),"ok","x")</f>
        <v>ok</v>
      </c>
    </row>
    <row r="9" spans="2:6" ht="18.3" x14ac:dyDescent="0.55000000000000004">
      <c r="B9" s="33" t="s">
        <v>345</v>
      </c>
      <c r="C9" s="25">
        <f>Flujo!C24-Balance!$C$10</f>
        <v>0</v>
      </c>
      <c r="D9" s="25">
        <f>Flujo!D24-Balance!$D$10</f>
        <v>-1.4901161193847656E-8</v>
      </c>
      <c r="E9" s="25">
        <f>Flujo!E24-Balance!$E$10</f>
        <v>-2.9802322387695313E-8</v>
      </c>
      <c r="F9" s="66" t="str">
        <f>IF(AND(ABS(C9)&lt;1,ABS(D9)&lt;1,ABS(E9)&lt;1),"ok","x")</f>
        <v>ok</v>
      </c>
    </row>
    <row r="10" spans="2:6" ht="18.3" x14ac:dyDescent="0.55000000000000004">
      <c r="B10" s="33" t="s">
        <v>346</v>
      </c>
      <c r="C10" s="25">
        <f>Cartera!D17+Cartera!D18+Cartera!D19-Cartera!$D$11</f>
        <v>0</v>
      </c>
      <c r="D10" s="25">
        <f>Cartera!E17+Cartera!E18+Cartera!E19-Cartera!$E$11</f>
        <v>0</v>
      </c>
      <c r="E10" s="25">
        <f>Cartera!F17+Cartera!F18+Cartera!F19-Cartera!$F$11</f>
        <v>0</v>
      </c>
      <c r="F10" s="66" t="str">
        <f>IF(AND(ABS(C10)&lt;1,ABS(D10)&lt;1,ABS(E10)&lt;1),"ok","x")</f>
        <v>ok</v>
      </c>
    </row>
    <row r="11" spans="2:6" ht="18.3" x14ac:dyDescent="0.55000000000000004">
      <c r="B11" s="33" t="s">
        <v>347</v>
      </c>
      <c r="C11" s="25">
        <f>Cartera!$D$24+Cartera!$D$25-Cartera!$D$11</f>
        <v>0</v>
      </c>
      <c r="D11" s="25">
        <f>Cartera!$E$24+Cartera!$E$25-Cartera!$E$11</f>
        <v>0</v>
      </c>
      <c r="E11" s="25">
        <f>Cartera!$F$24+Cartera!$F$25-Cartera!$F$11</f>
        <v>0</v>
      </c>
      <c r="F11" s="66" t="str">
        <f>IF(AND(ABS(C11)&lt;1,ABS(D11)&lt;1,ABS(E11)&lt;1),"ok","x")</f>
        <v>ok</v>
      </c>
    </row>
    <row r="12" spans="2:6" ht="18.3" x14ac:dyDescent="0.55000000000000004">
      <c r="B12" s="33" t="s">
        <v>348</v>
      </c>
      <c r="C12" s="37">
        <f>IF(Indicadores!C12&gt;=Supuestos!$D$47,1,0)</f>
        <v>1</v>
      </c>
      <c r="D12" s="37">
        <f>IF(Indicadores!D12&gt;=Supuestos!$D$47,1,0)</f>
        <v>1</v>
      </c>
      <c r="E12" s="37">
        <f>IF(Indicadores!E12&gt;=Supuestos!$D$47,1,0)</f>
        <v>1</v>
      </c>
      <c r="F12" s="66" t="str">
        <f>IF(MIN(C12,D12,E12)=1,"ok","x")</f>
        <v>ok</v>
      </c>
    </row>
    <row r="13" spans="2:6" ht="18.3" x14ac:dyDescent="0.55000000000000004">
      <c r="B13" s="33" t="s">
        <v>349</v>
      </c>
      <c r="C13" s="37">
        <f>IF(ER!$C$32&gt;0,1,0)</f>
        <v>1</v>
      </c>
      <c r="D13" s="37">
        <f>IF(ER!$D$32&gt;0,1,0)</f>
        <v>1</v>
      </c>
      <c r="E13" s="37">
        <f>IF(ER!$E$32&gt;0,1,0)</f>
        <v>1</v>
      </c>
      <c r="F13" s="66" t="str">
        <f>IF(MIN(C13,D13,E13)=1,"ok","x")</f>
        <v>ok</v>
      </c>
    </row>
    <row r="14" spans="2:6" ht="18.3" x14ac:dyDescent="0.55000000000000004">
      <c r="B14" s="33" t="s">
        <v>350</v>
      </c>
      <c r="C14" s="37">
        <f>IF(Balance!$C$10&gt;0,1,0)</f>
        <v>1</v>
      </c>
      <c r="D14" s="37">
        <f>IF(Balance!$D$10&gt;0,1,0)</f>
        <v>1</v>
      </c>
      <c r="E14" s="37">
        <f>IF(Balance!$E$10&gt;0,1,0)</f>
        <v>1</v>
      </c>
      <c r="F14" s="66" t="str">
        <f>IF(MIN(C14,D14,E14)=1,"ok","x")</f>
        <v>ok</v>
      </c>
    </row>
    <row r="15" spans="2:6" ht="18.3" x14ac:dyDescent="0.55000000000000004">
      <c r="B15" s="33" t="s">
        <v>351</v>
      </c>
      <c r="C15" s="37">
        <f>IF(Cartera!$D$38&lt;0.1,1,0)</f>
        <v>1</v>
      </c>
      <c r="D15" s="37">
        <f>IF(Cartera!$E$38&lt;0.1,1,0)</f>
        <v>1</v>
      </c>
      <c r="E15" s="37">
        <f>IF(Cartera!$F$38&lt;0.1,1,0)</f>
        <v>1</v>
      </c>
      <c r="F15" s="66" t="str">
        <f>IF(MIN(C15,D15,E15)=1,"ok","x")</f>
        <v>ok</v>
      </c>
    </row>
    <row r="16" spans="2:6" ht="18.3" x14ac:dyDescent="0.55000000000000004">
      <c r="B16" s="33" t="s">
        <v>352</v>
      </c>
      <c r="C16" s="37">
        <f>IF(Cartera!$D$40&gt;=0.8,1,0)</f>
        <v>1</v>
      </c>
      <c r="D16" s="37">
        <f>IF(Cartera!$E$40&gt;=0.8,1,0)</f>
        <v>1</v>
      </c>
      <c r="E16" s="37">
        <f>IF(Cartera!$F$40&gt;=0.8,1,0)</f>
        <v>1</v>
      </c>
      <c r="F16" s="66" t="str">
        <f>IF(MIN(C16,D16,E16)=1,"ok","x")</f>
        <v>ok</v>
      </c>
    </row>
    <row r="17" spans="2:6" ht="18.3" x14ac:dyDescent="0.55000000000000004">
      <c r="B17" s="33" t="s">
        <v>353</v>
      </c>
      <c r="C17" s="37">
        <f>IF('Cash Flows'!$D$35&gt;0,1,0)</f>
        <v>1</v>
      </c>
      <c r="F17" s="66" t="str">
        <f>IF(MIN(C17)=1,"ok","x")</f>
        <v>ok</v>
      </c>
    </row>
    <row r="18" spans="2:6" ht="18.3" x14ac:dyDescent="0.55000000000000004">
      <c r="B18" s="33" t="s">
        <v>354</v>
      </c>
      <c r="C18" s="37">
        <f>IF('Cash Flows'!$D$36&gt;Supuestos!$D$129,1,0)</f>
        <v>1</v>
      </c>
      <c r="F18" s="66" t="str">
        <f>IF(MIN(C18)=1,"ok","x")</f>
        <v>ok</v>
      </c>
    </row>
    <row r="21" spans="2:6" x14ac:dyDescent="0.55000000000000004">
      <c r="B21" s="76" t="s">
        <v>355</v>
      </c>
      <c r="C21" s="76"/>
      <c r="D21" s="76"/>
      <c r="E21" s="76"/>
      <c r="F21" s="76"/>
    </row>
    <row r="22" spans="2:6" x14ac:dyDescent="0.55000000000000004">
      <c r="B22" s="33" t="s">
        <v>401</v>
      </c>
      <c r="D22" s="32">
        <f>COUNTIF(F6:F19,"ok")</f>
        <v>13</v>
      </c>
    </row>
    <row r="23" spans="2:6" x14ac:dyDescent="0.55000000000000004">
      <c r="B23" s="33" t="s">
        <v>402</v>
      </c>
      <c r="D23" s="32">
        <f>COUNTIF(F6:F19,"x")</f>
        <v>0</v>
      </c>
    </row>
  </sheetData>
  <mergeCells count="2">
    <mergeCell ref="B2:F2"/>
    <mergeCell ref="B21:F21"/>
  </mergeCells>
  <conditionalFormatting sqref="F6:F18">
    <cfRule type="expression" dxfId="1" priority="2">
      <formula>F6="ok"</formula>
    </cfRule>
    <cfRule type="expression" dxfId="0" priority="3">
      <formula>F6="x"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Portada</vt:lpstr>
      <vt:lpstr>Supuestos</vt:lpstr>
      <vt:lpstr>Originación</vt:lpstr>
      <vt:lpstr>Cartera</vt:lpstr>
      <vt:lpstr>ER</vt:lpstr>
      <vt:lpstr>Balance</vt:lpstr>
      <vt:lpstr>Flujo</vt:lpstr>
      <vt:lpstr>Cash Flows</vt:lpstr>
      <vt:lpstr>Indicadores</vt:lpstr>
      <vt:lpstr>Sensibilidad</vt:lpstr>
      <vt:lpstr>Validaciones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david.camposa@iteso.mx</dc:creator>
  <dc:description/>
  <cp:lastModifiedBy>CAMPOS AMBRIZ, DAVID</cp:lastModifiedBy>
  <cp:revision>0</cp:revision>
  <dcterms:created xsi:type="dcterms:W3CDTF">2026-05-12T16:23:13Z</dcterms:created>
  <dcterms:modified xsi:type="dcterms:W3CDTF">2026-05-13T21:52:22Z</dcterms:modified>
  <dc:language>en-US</dc:language>
</cp:coreProperties>
</file>